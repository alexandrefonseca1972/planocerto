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unes.fernanda\Downloads\"/>
    </mc:Choice>
  </mc:AlternateContent>
  <xr:revisionPtr revIDLastSave="0" documentId="8_{22E570A6-FA39-47EB-85F7-A8AA2FCFF77E}" xr6:coauthVersionLast="47" xr6:coauthVersionMax="47" xr10:uidLastSave="{00000000-0000-0000-0000-000000000000}"/>
  <bookViews>
    <workbookView xWindow="-110" yWindow="-110" windowWidth="19420" windowHeight="10300" tabRatio="308" xr2:uid="{24584874-0217-48DC-83BF-1F72138510EE}"/>
  </bookViews>
  <sheets>
    <sheet name="Plano de Ação" sheetId="1" r:id="rId1"/>
  </sheets>
  <definedNames>
    <definedName name="_xlnm._FilterDatabase" localSheetId="0" hidden="1">'Plano de Ação'!$B$10:$O$33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M27" i="1"/>
  <c r="L27" i="1"/>
  <c r="K27" i="1"/>
  <c r="M19" i="1"/>
  <c r="L19" i="1"/>
  <c r="K19" i="1"/>
</calcChain>
</file>

<file path=xl/sharedStrings.xml><?xml version="1.0" encoding="utf-8"?>
<sst xmlns="http://schemas.openxmlformats.org/spreadsheetml/2006/main" count="98" uniqueCount="89">
  <si>
    <t>UNIDADE:</t>
  </si>
  <si>
    <t>ESTÁCIO FAP</t>
  </si>
  <si>
    <t>Não Iniciada (1)</t>
  </si>
  <si>
    <t>DIRETOR:</t>
  </si>
  <si>
    <t>THIAGO CARVALHO SANTOS</t>
  </si>
  <si>
    <t>Pendente (2)</t>
  </si>
  <si>
    <t>Em andamento, com atraso (3)</t>
  </si>
  <si>
    <t xml:space="preserve">META: </t>
  </si>
  <si>
    <r>
      <rPr>
        <b/>
        <sz val="9"/>
        <color rgb="FFFF0000"/>
        <rFont val="Arial"/>
        <family val="2"/>
      </rPr>
      <t>1.525</t>
    </r>
    <r>
      <rPr>
        <b/>
        <sz val="9"/>
        <rFont val="Arial"/>
        <family val="2"/>
      </rPr>
      <t xml:space="preserve"> INSC | </t>
    </r>
    <r>
      <rPr>
        <b/>
        <sz val="9"/>
        <color rgb="FFFF0000"/>
        <rFont val="Arial"/>
        <family val="2"/>
      </rPr>
      <t xml:space="preserve">385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353</t>
    </r>
    <r>
      <rPr>
        <b/>
        <sz val="9"/>
        <rFont val="Arial"/>
        <family val="2"/>
      </rPr>
      <t xml:space="preserve"> ACAD</t>
    </r>
  </si>
  <si>
    <t>Em andamento (4)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</si>
  <si>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</si>
  <si>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</si>
  <si>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</si>
  <si>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</si>
  <si>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</si>
  <si>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</si>
  <si>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</si>
  <si>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</si>
  <si>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Nº.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</si>
  <si>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</si>
  <si>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</si>
  <si>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</si>
  <si>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</si>
  <si>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</si>
  <si>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</si>
  <si>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</si>
  <si>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</si>
  <si>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</si>
  <si>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</si>
  <si>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</si>
  <si>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</si>
  <si>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</si>
  <si>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DE CONVERSÃO</t>
  </si>
  <si>
    <t>1.1</t>
  </si>
  <si>
    <t>Ativar a base de topo de funil, ampliando o alcance e a geração de novos leads.</t>
  </si>
  <si>
    <t xml:space="preserve"> Por que trata-se de uma base de aproximadamente 1.000 leads, e o objetivo é converter potenciais alunos utilizando uma nova estratégia de comunicação, destacando os últimos dias de captação para gerar senso de urgência e estimular a inscrição imediata.”</t>
  </si>
  <si>
    <t>Esácio FAP</t>
  </si>
  <si>
    <t>FDV e SM</t>
  </si>
  <si>
    <t>1.2</t>
  </si>
  <si>
    <t>Realizar reativação de alunos trancados e em situação de abandono, promovendo oportunidades de retorno.</t>
  </si>
  <si>
    <t>Por que é uma base com alto potencial de conversão, oferecendo oportunidades tanto para o retorno de alunos quanto para o ingresso em um novo curso.</t>
  </si>
  <si>
    <t>1.3</t>
  </si>
  <si>
    <t>Ativar e gerenciar grupos de WhatsApp como canal de relacionamento e conversão.</t>
  </si>
  <si>
    <t>É uma base com oportunidades para gerar leads com potencial de conversão de forma rápida</t>
  </si>
  <si>
    <t>1.4</t>
  </si>
  <si>
    <t>Implementar campanha de indicação premiada, incentivando alunos a indicarem novos ingressantes mediante benefícios.</t>
  </si>
  <si>
    <t xml:space="preserve"> Para estimular alunos a indicarem novos ingressantes, gerar leads qualificados, aumentar  as matrículas e fortalecer o engajamento com benefícios atrativos.</t>
  </si>
  <si>
    <t>Estácio Fap/ grupo dos alunos</t>
  </si>
  <si>
    <t>1.5</t>
  </si>
  <si>
    <t>Desenvolver corridas de incentivo para a equipe, estimulando engajamento e alcance de metas.</t>
  </si>
  <si>
    <t xml:space="preserve"> Para estimular a equipe, aumentar o engajamento e motivar o alcance de metas, tornando os objetivos mais claros e recompensando o desempenho de forma divertida e competitiva.</t>
  </si>
  <si>
    <t>Esácio FAP e FSP</t>
  </si>
  <si>
    <t>1.6</t>
  </si>
  <si>
    <t>1.7</t>
  </si>
  <si>
    <t>AÇÕES CANAL - EMPRESAS</t>
  </si>
  <si>
    <t>2.1</t>
  </si>
  <si>
    <t>Realizar divulgação em empresas por meio de stands, com abordagem direta e apresentação dos cursos.</t>
  </si>
  <si>
    <t>Captar leads dos trabalhadores e populares.</t>
  </si>
  <si>
    <t>Empresas e comércios locais ( Ação Externa)</t>
  </si>
  <si>
    <t>Equipe comercial</t>
  </si>
  <si>
    <t>Acompanhar diariamente o volume de leads captados, taxa de conversão e principais dúvidas dos interessados para ajustes na abordagem.</t>
  </si>
  <si>
    <t>2.2</t>
  </si>
  <si>
    <t>Estabelecer parcerias com áreas de RH de empresas locais, visando geração contínua de oportunidades.</t>
  </si>
  <si>
    <t xml:space="preserve">Oferecer condições especiais para colaboradores
</t>
  </si>
  <si>
    <t>Empresas e comércios locais (Ação Interna)</t>
  </si>
  <si>
    <t>Acompanhar quantidade de parcerias firmadas e número de colaboradores indicados.</t>
  </si>
  <si>
    <t>2.3</t>
  </si>
  <si>
    <t>Monitorar volume de leads acionados, taxa de resposta, agendamentos e conversão em matrículas.</t>
  </si>
  <si>
    <t>2.4</t>
  </si>
  <si>
    <t>Acompanhar quantidade de alunos contatados e reingressos realizados.</t>
  </si>
  <si>
    <t>2.5</t>
  </si>
  <si>
    <t>Monitorar volume de interações nos grupos, número de leads contatados, dúvidas esclarecidas e conversão em matrículas.</t>
  </si>
  <si>
    <t>2.6</t>
  </si>
  <si>
    <t>Foi enviado um formulário (Forms) nos grupos de alunos para captação de indicações, e também estamos solicitando indicações no momento da matrícula, tanto presencial quanto via WhatsApp.</t>
  </si>
  <si>
    <t>2.7</t>
  </si>
  <si>
    <t>Metas diárias/semanas com premiações por performance (ligações, conversões, matrículas)</t>
  </si>
  <si>
    <t>AÇÕES CANAL - TRADE</t>
  </si>
  <si>
    <t>3.1</t>
  </si>
  <si>
    <t>Realizar distribuição de panfletos em comércios locais, ampliando a visibilidade da instituição.</t>
  </si>
  <si>
    <t xml:space="preserve"> Para gerar leads qualificados e aumentar as chances de matrículas por meio de contato presencial e abordagem personalizada.</t>
  </si>
  <si>
    <t>Empresas e comércios locais</t>
  </si>
  <si>
    <t>3.2</t>
  </si>
  <si>
    <t>Realizar abordagem ativa do público, esclarecendo dúvidas e apresentando os diferenciais dos cursos.</t>
  </si>
  <si>
    <t xml:space="preserve"> Para esclarecer dúvidas dos interessados, aumentando as chances de conversão em matrícula.</t>
  </si>
  <si>
    <t>Empresas e comèrcios locais</t>
  </si>
  <si>
    <t>3.3</t>
  </si>
  <si>
    <t>3.4</t>
  </si>
  <si>
    <t>3.5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</si>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</sst>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sz val="1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 wrapText="1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 applyProtection="1">
      <alignment horizontal="justify" vertical="center" wrapText="1"/>
      <protection locked="0"/>
    </xf>
    <xf numFmtId="0" fontId="4" fillId="0" borderId="7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vertical="center"/>
    </xf>
    <xf numFmtId="14" fontId="18" fillId="0" borderId="1" xfId="2" applyNumberFormat="1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4" borderId="9" xfId="2" applyFont="1" applyFill="1" applyBorder="1" applyAlignment="1" applyProtection="1">
      <alignment horizontal="center" vertical="center" wrapText="1"/>
      <protection locked="0"/>
    </xf>
    <xf numFmtId="164" fontId="2" fillId="4" borderId="9" xfId="0" applyNumberFormat="1" applyFont="1" applyFill="1" applyBorder="1" applyAlignment="1" applyProtection="1">
      <alignment horizontal="center" vertical="center"/>
      <protection locked="0"/>
    </xf>
    <xf numFmtId="44" fontId="2" fillId="4" borderId="9" xfId="3" applyFont="1" applyFill="1" applyBorder="1" applyAlignment="1" applyProtection="1">
      <alignment horizontal="center" vertical="center"/>
      <protection locked="0"/>
    </xf>
    <xf numFmtId="1" fontId="2" fillId="4" borderId="9" xfId="1" applyNumberFormat="1" applyFont="1" applyFill="1" applyBorder="1" applyAlignment="1" applyProtection="1">
      <alignment horizontal="center" vertical="center"/>
      <protection locked="0"/>
    </xf>
    <xf numFmtId="14" fontId="4" fillId="0" borderId="11" xfId="2" applyNumberFormat="1" applyBorder="1" applyAlignment="1" applyProtection="1">
      <alignment horizontal="center" vertical="center" wrapText="1"/>
      <protection locked="0"/>
    </xf>
    <xf numFmtId="164" fontId="4" fillId="0" borderId="11" xfId="0" applyNumberFormat="1" applyFont="1" applyBorder="1" applyAlignment="1" applyProtection="1">
      <alignment horizontal="center" vertical="center"/>
      <protection locked="0"/>
    </xf>
    <xf numFmtId="44" fontId="4" fillId="0" borderId="11" xfId="3" applyFont="1" applyBorder="1" applyAlignment="1" applyProtection="1">
      <alignment horizontal="center" vertical="center"/>
      <protection locked="0"/>
    </xf>
    <xf numFmtId="1" fontId="4" fillId="0" borderId="11" xfId="0" applyNumberFormat="1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>
      <alignment vertical="center"/>
    </xf>
    <xf numFmtId="44" fontId="19" fillId="0" borderId="12" xfId="3" applyFont="1" applyBorder="1" applyAlignment="1">
      <alignment vertical="center"/>
    </xf>
    <xf numFmtId="1" fontId="2" fillId="4" borderId="13" xfId="1" applyNumberFormat="1" applyFont="1" applyFill="1" applyBorder="1" applyAlignment="1" applyProtection="1">
      <alignment horizontal="center" vertical="center"/>
      <protection locked="0"/>
    </xf>
    <xf numFmtId="1" fontId="4" fillId="0" borderId="14" xfId="0" applyNumberFormat="1" applyFont="1" applyBorder="1" applyAlignment="1" applyProtection="1">
      <alignment horizontal="center" vertical="center"/>
      <protection locked="0"/>
    </xf>
    <xf numFmtId="0" fontId="10" fillId="4" borderId="1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  <protection locked="0"/>
    </xf>
    <xf numFmtId="1" fontId="19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3" fillId="5" borderId="8" xfId="0" applyFont="1" applyFill="1" applyBorder="1" applyAlignment="1">
      <alignment horizontal="left" vertical="center" indent="1"/>
    </xf>
    <xf numFmtId="0" fontId="16" fillId="5" borderId="8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topLeftCell="E4" zoomScaleNormal="100" workbookViewId="0">
      <selection activeCell="N16" sqref="N16"/>
    </sheetView>
  </sheetViews>
  <sheetFormatPr defaultColWidth="9.28515625" defaultRowHeight="14.1" outlineLevelRow="1"/>
  <cols>
    <col min="1" max="1" width="1.42578125" style="2" customWidth="1"/>
    <col min="2" max="2" width="11.28515625" style="44" bestFit="1" customWidth="1"/>
    <col min="3" max="3" width="57.42578125" style="45" customWidth="1"/>
    <col min="4" max="4" width="68.42578125" style="45" customWidth="1"/>
    <col min="5" max="5" width="38.42578125" style="45" customWidth="1"/>
    <col min="6" max="6" width="18.85546875" style="45" customWidth="1"/>
    <col min="7" max="10" width="10.42578125" style="45" customWidth="1"/>
    <col min="11" max="11" width="13.5703125" style="46" bestFit="1" customWidth="1"/>
    <col min="12" max="12" width="12.28515625" style="47" bestFit="1" customWidth="1"/>
    <col min="13" max="13" width="13.7109375" style="47" customWidth="1"/>
    <col min="14" max="14" width="7.28515625" style="45" bestFit="1" customWidth="1"/>
    <col min="15" max="15" width="64.28515625" style="45" customWidth="1"/>
    <col min="16" max="16384" width="9.28515625" style="2"/>
  </cols>
  <sheetData>
    <row r="1" spans="2:15" ht="7.5" customHeight="1" thickBot="1"/>
    <row r="2" spans="2:15" ht="8.65" customHeight="1">
      <c r="B2" s="88" t="s">
        <v>0</v>
      </c>
      <c r="C2" s="90" t="s">
        <v>1</v>
      </c>
      <c r="D2" s="48"/>
      <c r="E2" s="48"/>
      <c r="F2" s="49"/>
      <c r="G2" s="49"/>
      <c r="H2" s="49"/>
      <c r="I2" s="50"/>
      <c r="J2" s="50"/>
      <c r="K2" s="51"/>
      <c r="L2" s="52"/>
      <c r="M2" s="52"/>
      <c r="N2" s="50"/>
      <c r="O2" s="50"/>
    </row>
    <row r="3" spans="2:15" ht="15.75" customHeight="1" thickBot="1">
      <c r="B3" s="88"/>
      <c r="C3" s="90"/>
      <c r="D3" s="18"/>
      <c r="I3" s="53"/>
      <c r="J3" s="84"/>
      <c r="K3" s="84"/>
      <c r="L3" s="54"/>
      <c r="M3" s="17" t="s">
        <v>2</v>
      </c>
      <c r="N3" s="16">
        <v>1</v>
      </c>
    </row>
    <row r="4" spans="2:15" ht="15.6">
      <c r="B4" s="88" t="s">
        <v>3</v>
      </c>
      <c r="C4" s="91" t="s">
        <v>4</v>
      </c>
      <c r="D4" s="18"/>
      <c r="I4" s="53"/>
      <c r="J4" s="85"/>
      <c r="K4" s="85"/>
      <c r="L4" s="15"/>
      <c r="M4" s="17" t="s">
        <v>5</v>
      </c>
      <c r="N4" s="16">
        <v>2</v>
      </c>
    </row>
    <row r="5" spans="2:15" ht="15" thickBot="1">
      <c r="B5" s="88"/>
      <c r="C5" s="91"/>
      <c r="D5" s="48"/>
      <c r="I5" s="55"/>
      <c r="J5" s="50"/>
      <c r="K5" s="51"/>
      <c r="L5" s="52"/>
      <c r="M5" s="17" t="s">
        <v>6</v>
      </c>
      <c r="N5" s="16">
        <v>3</v>
      </c>
    </row>
    <row r="6" spans="2:15" ht="15.75" customHeight="1">
      <c r="B6" s="89" t="s">
        <v>7</v>
      </c>
      <c r="C6" s="92" t="s">
        <v>8</v>
      </c>
      <c r="D6" s="18"/>
      <c r="I6" s="53"/>
      <c r="J6" s="3"/>
      <c r="K6" s="56"/>
      <c r="L6" s="57"/>
      <c r="M6" s="17" t="s">
        <v>9</v>
      </c>
      <c r="N6" s="16">
        <v>4</v>
      </c>
    </row>
    <row r="7" spans="2:15" ht="14.45" thickBot="1">
      <c r="B7" s="89"/>
      <c r="C7" s="92"/>
      <c r="D7" s="18"/>
      <c r="I7" s="53"/>
      <c r="J7" s="3"/>
      <c r="K7" s="56"/>
      <c r="L7" s="57"/>
      <c r="M7" s="17" t="s">
        <v>10</v>
      </c>
      <c r="N7" s="16">
        <v>5</v>
      </c>
    </row>
    <row r="8" spans="2:15" ht="8.65" customHeight="1">
      <c r="B8" s="3"/>
      <c r="C8" s="18"/>
      <c r="D8" s="3"/>
      <c r="E8" s="4"/>
      <c r="F8" s="5"/>
      <c r="G8" s="5"/>
      <c r="H8" s="5"/>
      <c r="I8" s="5"/>
      <c r="J8" s="3"/>
      <c r="K8" s="56"/>
      <c r="L8" s="57"/>
      <c r="M8" s="57"/>
      <c r="N8" s="3"/>
      <c r="O8" s="3"/>
    </row>
    <row r="9" spans="2:15" s="6" customFormat="1" ht="32.1" hidden="1" customHeight="1">
      <c r="B9" s="1"/>
      <c r="C9" s="1" t="s">
        <v>11</v>
      </c>
      <c r="D9" s="1" t="s">
        <v>12</v>
      </c>
      <c r="E9" s="1" t="s">
        <v>13</v>
      </c>
      <c r="F9" s="1" t="s">
        <v>14</v>
      </c>
      <c r="G9" s="1"/>
      <c r="H9" s="1"/>
      <c r="I9" s="86" t="s">
        <v>15</v>
      </c>
      <c r="J9" s="86"/>
      <c r="K9" s="12" t="s">
        <v>16</v>
      </c>
      <c r="L9" s="87" t="s">
        <v>17</v>
      </c>
      <c r="M9" s="87"/>
      <c r="N9" s="58"/>
      <c r="O9" s="59"/>
    </row>
    <row r="10" spans="2:15" s="7" customFormat="1" ht="33.75" customHeight="1">
      <c r="B10" s="25" t="s">
        <v>18</v>
      </c>
      <c r="C10" s="26" t="s">
        <v>19</v>
      </c>
      <c r="D10" s="26" t="s">
        <v>20</v>
      </c>
      <c r="E10" s="26" t="s">
        <v>21</v>
      </c>
      <c r="F10" s="26" t="s">
        <v>22</v>
      </c>
      <c r="G10" s="26" t="s">
        <v>23</v>
      </c>
      <c r="H10" s="26" t="s">
        <v>24</v>
      </c>
      <c r="I10" s="26" t="s">
        <v>25</v>
      </c>
      <c r="J10" s="26" t="s">
        <v>26</v>
      </c>
      <c r="K10" s="27" t="s">
        <v>27</v>
      </c>
      <c r="L10" s="28" t="s">
        <v>28</v>
      </c>
      <c r="M10" s="39" t="s">
        <v>29</v>
      </c>
      <c r="N10" s="43" t="s">
        <v>30</v>
      </c>
      <c r="O10" s="40" t="s">
        <v>31</v>
      </c>
    </row>
    <row r="11" spans="2:15" s="7" customFormat="1" ht="29.25" customHeight="1">
      <c r="B11" s="66">
        <v>1</v>
      </c>
      <c r="C11" s="19" t="s">
        <v>32</v>
      </c>
      <c r="D11" s="24"/>
      <c r="E11" s="24"/>
      <c r="F11" s="68"/>
      <c r="G11" s="68"/>
      <c r="H11" s="68"/>
      <c r="I11" s="69"/>
      <c r="J11" s="69"/>
      <c r="K11" s="70">
        <f>SUM(K12:K18)</f>
        <v>0</v>
      </c>
      <c r="L11" s="71">
        <v>10</v>
      </c>
      <c r="M11" s="78"/>
      <c r="N11" s="80">
        <v>1</v>
      </c>
      <c r="O11" s="41"/>
    </row>
    <row r="12" spans="2:15" s="62" customFormat="1" ht="28.5" customHeight="1" outlineLevel="1">
      <c r="B12" s="65" t="s">
        <v>33</v>
      </c>
      <c r="C12" s="63" t="s">
        <v>34</v>
      </c>
      <c r="D12" s="63" t="s">
        <v>35</v>
      </c>
      <c r="E12" s="63" t="s">
        <v>36</v>
      </c>
      <c r="F12" s="65" t="s">
        <v>37</v>
      </c>
      <c r="G12" s="72">
        <v>46105</v>
      </c>
      <c r="H12" s="72">
        <v>46130</v>
      </c>
      <c r="I12" s="72">
        <v>46105</v>
      </c>
      <c r="J12" s="72">
        <v>46130</v>
      </c>
      <c r="K12" s="77"/>
      <c r="L12" s="83">
        <v>2</v>
      </c>
      <c r="M12" s="83">
        <v>1</v>
      </c>
      <c r="N12" s="76">
        <v>4</v>
      </c>
      <c r="O12" s="63"/>
    </row>
    <row r="13" spans="2:15" s="7" customFormat="1" ht="28.5" customHeight="1" outlineLevel="1">
      <c r="B13" s="67" t="s">
        <v>38</v>
      </c>
      <c r="C13" s="10" t="s">
        <v>39</v>
      </c>
      <c r="D13" s="60" t="s">
        <v>40</v>
      </c>
      <c r="E13" s="61" t="s">
        <v>36</v>
      </c>
      <c r="F13" s="82" t="s">
        <v>37</v>
      </c>
      <c r="G13" s="72">
        <v>46105</v>
      </c>
      <c r="H13" s="72">
        <v>46130</v>
      </c>
      <c r="I13" s="73">
        <v>46091</v>
      </c>
      <c r="J13" s="73">
        <v>46130</v>
      </c>
      <c r="K13" s="74"/>
      <c r="L13" s="75">
        <v>3</v>
      </c>
      <c r="M13" s="79">
        <v>1</v>
      </c>
      <c r="N13" s="81">
        <v>4</v>
      </c>
      <c r="O13" s="42"/>
    </row>
    <row r="14" spans="2:15" s="7" customFormat="1" ht="28.5" customHeight="1" outlineLevel="1">
      <c r="B14" s="34" t="s">
        <v>41</v>
      </c>
      <c r="C14" s="10" t="s">
        <v>42</v>
      </c>
      <c r="D14" s="60" t="s">
        <v>43</v>
      </c>
      <c r="E14" s="61" t="s">
        <v>36</v>
      </c>
      <c r="F14" s="35" t="s">
        <v>37</v>
      </c>
      <c r="G14" s="33">
        <v>46105</v>
      </c>
      <c r="H14" s="33">
        <v>46125</v>
      </c>
      <c r="I14" s="8">
        <v>46091</v>
      </c>
      <c r="J14" s="8">
        <v>46125</v>
      </c>
      <c r="K14" s="13"/>
      <c r="L14" s="36">
        <v>1</v>
      </c>
      <c r="M14" s="11">
        <v>0</v>
      </c>
      <c r="N14" s="9">
        <v>4</v>
      </c>
      <c r="O14" s="42"/>
    </row>
    <row r="15" spans="2:15" s="7" customFormat="1" ht="28.5" customHeight="1" outlineLevel="1">
      <c r="B15" s="34" t="s">
        <v>44</v>
      </c>
      <c r="C15" s="10" t="s">
        <v>45</v>
      </c>
      <c r="D15" s="60" t="s">
        <v>46</v>
      </c>
      <c r="E15" s="61" t="s">
        <v>47</v>
      </c>
      <c r="F15" s="35" t="s">
        <v>37</v>
      </c>
      <c r="G15" s="33">
        <v>46105</v>
      </c>
      <c r="H15" s="33">
        <v>46125</v>
      </c>
      <c r="I15" s="8">
        <v>46091</v>
      </c>
      <c r="J15" s="8">
        <v>46125</v>
      </c>
      <c r="K15" s="13"/>
      <c r="L15" s="36">
        <v>1</v>
      </c>
      <c r="M15" s="11">
        <v>0</v>
      </c>
      <c r="N15" s="9">
        <v>4</v>
      </c>
      <c r="O15" s="42"/>
    </row>
    <row r="16" spans="2:15" s="7" customFormat="1" ht="28.5" customHeight="1" outlineLevel="1">
      <c r="B16" s="34" t="s">
        <v>48</v>
      </c>
      <c r="C16" s="10" t="s">
        <v>49</v>
      </c>
      <c r="D16" s="60" t="s">
        <v>50</v>
      </c>
      <c r="E16" s="61" t="s">
        <v>51</v>
      </c>
      <c r="F16" s="35" t="s">
        <v>37</v>
      </c>
      <c r="G16" s="33">
        <v>46105</v>
      </c>
      <c r="H16" s="33">
        <v>46125</v>
      </c>
      <c r="I16" s="8">
        <v>46091</v>
      </c>
      <c r="J16" s="8">
        <v>46125</v>
      </c>
      <c r="K16" s="13"/>
      <c r="L16" s="36">
        <v>3</v>
      </c>
      <c r="M16" s="11">
        <v>0</v>
      </c>
      <c r="N16" s="9">
        <v>4</v>
      </c>
      <c r="O16" s="42"/>
    </row>
    <row r="17" spans="2:15" s="7" customFormat="1" ht="28.5" hidden="1" customHeight="1" outlineLevel="1">
      <c r="B17" s="34" t="s">
        <v>52</v>
      </c>
      <c r="C17" s="10"/>
      <c r="D17" s="14"/>
      <c r="E17" s="32"/>
      <c r="F17" s="35"/>
      <c r="G17" s="33"/>
      <c r="H17" s="33"/>
      <c r="I17" s="8"/>
      <c r="J17" s="8"/>
      <c r="K17" s="13"/>
      <c r="L17" s="36"/>
      <c r="M17" s="11"/>
      <c r="N17" s="9">
        <v>1</v>
      </c>
      <c r="O17" s="42"/>
    </row>
    <row r="18" spans="2:15" s="7" customFormat="1" ht="28.5" hidden="1" customHeight="1" outlineLevel="1">
      <c r="B18" s="34" t="s">
        <v>53</v>
      </c>
      <c r="C18" s="10"/>
      <c r="D18" s="10"/>
      <c r="E18" s="10"/>
      <c r="F18" s="35"/>
      <c r="G18" s="35"/>
      <c r="H18" s="35"/>
      <c r="I18" s="8"/>
      <c r="J18" s="8"/>
      <c r="K18" s="13"/>
      <c r="L18" s="36"/>
      <c r="M18" s="11"/>
      <c r="N18" s="9">
        <v>1</v>
      </c>
      <c r="O18" s="42"/>
    </row>
    <row r="19" spans="2:15" s="7" customFormat="1" ht="12.75" customHeight="1">
      <c r="B19" s="29">
        <v>2</v>
      </c>
      <c r="C19" s="19" t="s">
        <v>54</v>
      </c>
      <c r="D19" s="24"/>
      <c r="E19" s="24"/>
      <c r="F19" s="30"/>
      <c r="G19" s="30"/>
      <c r="H19" s="30"/>
      <c r="I19" s="20"/>
      <c r="J19" s="20"/>
      <c r="K19" s="21">
        <f>SUM(K20:K26)</f>
        <v>0</v>
      </c>
      <c r="L19" s="31">
        <f>SUM(L20:L26)</f>
        <v>2</v>
      </c>
      <c r="M19" s="22">
        <f>SUM(M20:M26)</f>
        <v>0</v>
      </c>
      <c r="N19" s="23">
        <v>1</v>
      </c>
      <c r="O19" s="41"/>
    </row>
    <row r="20" spans="2:15" s="7" customFormat="1" ht="23.25" customHeight="1" outlineLevel="1">
      <c r="B20" s="34" t="s">
        <v>55</v>
      </c>
      <c r="C20" s="10" t="s">
        <v>56</v>
      </c>
      <c r="D20" s="10" t="s">
        <v>57</v>
      </c>
      <c r="E20" s="37" t="s">
        <v>58</v>
      </c>
      <c r="F20" s="35" t="s">
        <v>59</v>
      </c>
      <c r="G20" s="33">
        <v>46105</v>
      </c>
      <c r="H20" s="33">
        <v>46125</v>
      </c>
      <c r="I20" s="8">
        <v>46091</v>
      </c>
      <c r="J20" s="8">
        <v>46125</v>
      </c>
      <c r="K20" s="13"/>
      <c r="L20" s="36">
        <v>1</v>
      </c>
      <c r="M20" s="11">
        <v>0</v>
      </c>
      <c r="N20" s="9">
        <v>4</v>
      </c>
      <c r="O20" s="42" t="s">
        <v>60</v>
      </c>
    </row>
    <row r="21" spans="2:15" s="7" customFormat="1" ht="23.25" customHeight="1" outlineLevel="1">
      <c r="B21" s="34" t="s">
        <v>61</v>
      </c>
      <c r="C21" s="10" t="s">
        <v>62</v>
      </c>
      <c r="D21" s="10" t="s">
        <v>63</v>
      </c>
      <c r="E21" s="37" t="s">
        <v>64</v>
      </c>
      <c r="F21" s="35" t="s">
        <v>59</v>
      </c>
      <c r="G21" s="33">
        <v>46105</v>
      </c>
      <c r="H21" s="33">
        <v>46125</v>
      </c>
      <c r="I21" s="8">
        <v>46091</v>
      </c>
      <c r="J21" s="8">
        <v>46125</v>
      </c>
      <c r="K21" s="13"/>
      <c r="L21" s="36">
        <v>1</v>
      </c>
      <c r="M21" s="11">
        <v>0</v>
      </c>
      <c r="N21" s="9">
        <v>4</v>
      </c>
      <c r="O21" s="42" t="s">
        <v>65</v>
      </c>
    </row>
    <row r="22" spans="2:15" s="7" customFormat="1" ht="23.25" hidden="1" customHeight="1" outlineLevel="1">
      <c r="B22" s="34" t="s">
        <v>66</v>
      </c>
      <c r="C22" s="10"/>
      <c r="D22" s="10"/>
      <c r="E22" s="37"/>
      <c r="F22" s="35"/>
      <c r="G22" s="33"/>
      <c r="H22" s="33"/>
      <c r="I22" s="8"/>
      <c r="J22" s="8"/>
      <c r="K22" s="13"/>
      <c r="L22" s="36"/>
      <c r="M22" s="11"/>
      <c r="N22" s="9">
        <v>4</v>
      </c>
      <c r="O22" s="42" t="s">
        <v>67</v>
      </c>
    </row>
    <row r="23" spans="2:15" s="7" customFormat="1" ht="23.25" hidden="1" customHeight="1" outlineLevel="1">
      <c r="B23" s="34" t="s">
        <v>68</v>
      </c>
      <c r="C23" s="10"/>
      <c r="D23" s="10"/>
      <c r="E23" s="37"/>
      <c r="F23" s="35"/>
      <c r="G23" s="33"/>
      <c r="H23" s="33"/>
      <c r="I23" s="8"/>
      <c r="J23" s="8"/>
      <c r="K23" s="13"/>
      <c r="L23" s="36"/>
      <c r="M23" s="11"/>
      <c r="N23" s="9">
        <v>4</v>
      </c>
      <c r="O23" s="42" t="s">
        <v>69</v>
      </c>
    </row>
    <row r="24" spans="2:15" s="7" customFormat="1" ht="23.25" hidden="1" customHeight="1" outlineLevel="1">
      <c r="B24" s="34" t="s">
        <v>70</v>
      </c>
      <c r="C24" s="10"/>
      <c r="D24" s="10"/>
      <c r="E24" s="37"/>
      <c r="F24" s="35"/>
      <c r="G24" s="33"/>
      <c r="H24" s="33"/>
      <c r="I24" s="8"/>
      <c r="J24" s="8"/>
      <c r="K24" s="13"/>
      <c r="L24" s="36"/>
      <c r="M24" s="11"/>
      <c r="N24" s="9">
        <v>4</v>
      </c>
      <c r="O24" s="42" t="s">
        <v>71</v>
      </c>
    </row>
    <row r="25" spans="2:15" s="7" customFormat="1" ht="23.25" hidden="1" customHeight="1" outlineLevel="1">
      <c r="B25" s="34" t="s">
        <v>72</v>
      </c>
      <c r="C25" s="10"/>
      <c r="D25" s="10"/>
      <c r="E25" s="37"/>
      <c r="F25" s="35"/>
      <c r="G25" s="33"/>
      <c r="H25" s="33"/>
      <c r="I25" s="8"/>
      <c r="J25" s="8"/>
      <c r="K25" s="13"/>
      <c r="L25" s="36"/>
      <c r="M25" s="11"/>
      <c r="N25" s="9">
        <v>4</v>
      </c>
      <c r="O25" s="42" t="s">
        <v>73</v>
      </c>
    </row>
    <row r="26" spans="2:15" s="7" customFormat="1" ht="23.25" hidden="1" customHeight="1" outlineLevel="1">
      <c r="B26" s="34" t="s">
        <v>74</v>
      </c>
      <c r="C26" s="10"/>
      <c r="D26" s="10"/>
      <c r="E26" s="37"/>
      <c r="F26" s="35"/>
      <c r="G26" s="33"/>
      <c r="H26" s="33"/>
      <c r="I26" s="8"/>
      <c r="J26" s="8"/>
      <c r="K26" s="13"/>
      <c r="L26" s="36"/>
      <c r="M26" s="11"/>
      <c r="N26" s="9">
        <v>4</v>
      </c>
      <c r="O26" s="42" t="s">
        <v>75</v>
      </c>
    </row>
    <row r="27" spans="2:15" s="7" customFormat="1" ht="25.15" customHeight="1">
      <c r="B27" s="29">
        <v>3</v>
      </c>
      <c r="C27" s="19" t="s">
        <v>76</v>
      </c>
      <c r="D27" s="24"/>
      <c r="E27" s="24"/>
      <c r="F27" s="30"/>
      <c r="G27" s="30"/>
      <c r="H27" s="30"/>
      <c r="I27" s="20"/>
      <c r="J27" s="20"/>
      <c r="K27" s="21">
        <f>SUM(K28:K34)</f>
        <v>0</v>
      </c>
      <c r="L27" s="31">
        <f>SUM(L28:L34)</f>
        <v>2</v>
      </c>
      <c r="M27" s="22">
        <f>SUM(M28:M34)</f>
        <v>0</v>
      </c>
      <c r="N27" s="23">
        <v>1</v>
      </c>
      <c r="O27" s="41"/>
    </row>
    <row r="28" spans="2:15" s="7" customFormat="1" ht="29.25" customHeight="1" outlineLevel="1">
      <c r="B28" s="34" t="s">
        <v>77</v>
      </c>
      <c r="C28" s="10" t="s">
        <v>78</v>
      </c>
      <c r="D28" s="10" t="s">
        <v>79</v>
      </c>
      <c r="E28" s="37" t="s">
        <v>80</v>
      </c>
      <c r="F28" s="35" t="s">
        <v>37</v>
      </c>
      <c r="G28" s="64">
        <v>46105</v>
      </c>
      <c r="H28" s="33">
        <v>46125</v>
      </c>
      <c r="I28" s="64">
        <v>46105</v>
      </c>
      <c r="J28" s="33">
        <v>46125</v>
      </c>
      <c r="K28" s="13"/>
      <c r="L28" s="36">
        <v>1</v>
      </c>
      <c r="M28" s="11">
        <v>0</v>
      </c>
      <c r="N28" s="9">
        <v>4</v>
      </c>
      <c r="O28" s="42"/>
    </row>
    <row r="29" spans="2:15" s="7" customFormat="1" ht="29.25" customHeight="1" outlineLevel="1">
      <c r="B29" s="34" t="s">
        <v>81</v>
      </c>
      <c r="C29" s="10" t="s">
        <v>82</v>
      </c>
      <c r="D29" s="10" t="s">
        <v>83</v>
      </c>
      <c r="E29" s="37" t="s">
        <v>84</v>
      </c>
      <c r="F29" s="35" t="s">
        <v>37</v>
      </c>
      <c r="G29" s="64">
        <v>46105</v>
      </c>
      <c r="H29" s="33">
        <v>46125</v>
      </c>
      <c r="I29" s="64">
        <v>46105</v>
      </c>
      <c r="J29" s="33">
        <v>46125</v>
      </c>
      <c r="K29" s="13"/>
      <c r="L29" s="36">
        <v>1</v>
      </c>
      <c r="M29" s="11">
        <v>0</v>
      </c>
      <c r="N29" s="9">
        <v>4</v>
      </c>
      <c r="O29" s="42"/>
    </row>
    <row r="30" spans="2:15" s="7" customFormat="1" ht="12.75" hidden="1" customHeight="1" outlineLevel="1">
      <c r="B30" s="34" t="s">
        <v>85</v>
      </c>
      <c r="C30" s="10"/>
      <c r="D30" s="10"/>
      <c r="E30" s="37"/>
      <c r="F30" s="35"/>
      <c r="G30" s="38"/>
      <c r="H30" s="38"/>
      <c r="I30" s="8"/>
      <c r="J30" s="8"/>
      <c r="K30" s="13"/>
      <c r="L30" s="36"/>
      <c r="M30" s="11"/>
      <c r="N30" s="9">
        <v>1</v>
      </c>
      <c r="O30" s="42"/>
    </row>
    <row r="31" spans="2:15" s="7" customFormat="1" ht="12.75" hidden="1" customHeight="1" outlineLevel="1">
      <c r="B31" s="34" t="s">
        <v>86</v>
      </c>
      <c r="C31" s="10"/>
      <c r="D31" s="10"/>
      <c r="E31" s="37"/>
      <c r="F31" s="35"/>
      <c r="G31" s="38"/>
      <c r="H31" s="38"/>
      <c r="I31" s="8"/>
      <c r="J31" s="8"/>
      <c r="K31" s="13"/>
      <c r="L31" s="36"/>
      <c r="M31" s="11"/>
      <c r="N31" s="9">
        <v>1</v>
      </c>
      <c r="O31" s="42"/>
    </row>
    <row r="32" spans="2:15" s="7" customFormat="1" ht="12.75" hidden="1" customHeight="1" outlineLevel="1">
      <c r="B32" s="34" t="s">
        <v>87</v>
      </c>
      <c r="C32" s="10"/>
      <c r="D32" s="10"/>
      <c r="E32" s="37"/>
      <c r="F32" s="35"/>
      <c r="G32" s="38"/>
      <c r="H32" s="38"/>
      <c r="I32" s="8"/>
      <c r="J32" s="8"/>
      <c r="K32" s="13"/>
      <c r="L32" s="36"/>
      <c r="M32" s="11"/>
      <c r="N32" s="9">
        <v>1</v>
      </c>
      <c r="O32" s="42"/>
    </row>
    <row r="33" spans="2:15" s="7" customFormat="1" ht="12.75" hidden="1" customHeight="1" outlineLevel="1">
      <c r="B33" s="34" t="s">
        <v>88</v>
      </c>
      <c r="C33" s="10"/>
      <c r="D33" s="10"/>
      <c r="E33" s="10"/>
      <c r="F33" s="35"/>
      <c r="G33" s="35"/>
      <c r="H33" s="35"/>
      <c r="I33" s="8"/>
      <c r="J33" s="8"/>
      <c r="K33" s="13"/>
      <c r="L33" s="36"/>
      <c r="M33" s="11"/>
      <c r="N33" s="9">
        <v>1</v>
      </c>
      <c r="O33" s="42"/>
    </row>
  </sheetData>
  <autoFilter ref="B10:O33" xr:uid="{F7B34BA2-E995-41D4-9E68-C2DC9985C77D}"/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7:M27 K19:M1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a923c1c-514b-43b9-8960-ec459a414e5e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DB56E-2D49-44C8-9723-74947B72004C}"/>
</file>

<file path=customXml/itemProps2.xml><?xml version="1.0" encoding="utf-8"?>
<ds:datastoreItem xmlns:ds="http://schemas.openxmlformats.org/officeDocument/2006/customXml" ds:itemID="{935509B1-2AF3-4F02-9E20-B257A74CD3F8}"/>
</file>

<file path=customXml/itemProps3.xml><?xml version="1.0" encoding="utf-8"?>
<ds:datastoreItem xmlns:ds="http://schemas.openxmlformats.org/officeDocument/2006/customXml" ds:itemID="{9C74D777-999E-499F-BA1E-9756A02E0DDF}"/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/>
  <cp:revision/>
  <dcterms:created xsi:type="dcterms:W3CDTF">2022-06-13T20:59:16Z</dcterms:created>
  <dcterms:modified xsi:type="dcterms:W3CDTF">2026-03-28T23:32:25Z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