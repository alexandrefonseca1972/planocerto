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acio-my.sharepoint.com/personal/jefferson_aoliveira_estacio_br/Documents/Jeff 26.1 📈/"/>
    </mc:Choice>
  </mc:AlternateContent>
  <xr:revisionPtr revIDLastSave="0" documentId="8_{E49AAB53-27DC-4A53-9B17-61893BCD45D7}" xr6:coauthVersionLast="47" xr6:coauthVersionMax="47" xr10:uidLastSave="{00000000-0000-0000-0000-000000000000}"/>
  <bookViews>
    <workbookView xWindow="-120" yWindow="-120" windowWidth="20730" windowHeight="11040" tabRatio="714" xr2:uid="{24584874-0217-48DC-83BF-1F72138510EE}"/>
  </bookViews>
  <sheets>
    <sheet name="PA MACAPÁ SEAMA" sheetId="3" r:id="rId1"/>
    <sheet name="Base com informações SEAMA" sheetId="2" r:id="rId2"/>
    <sheet name="Base com informações FAMAP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2" l="1"/>
  <c r="O27" i="2"/>
  <c r="L33" i="5"/>
  <c r="L33" i="2"/>
  <c r="L28" i="5"/>
  <c r="I28" i="5"/>
  <c r="I28" i="2"/>
  <c r="L28" i="2"/>
  <c r="M29" i="3"/>
  <c r="L29" i="3"/>
  <c r="M21" i="3"/>
  <c r="L21" i="3"/>
  <c r="M13" i="3"/>
  <c r="L13" i="3"/>
</calcChain>
</file>

<file path=xl/sharedStrings.xml><?xml version="1.0" encoding="utf-8"?>
<sst xmlns="http://schemas.openxmlformats.org/spreadsheetml/2006/main" count="150" uniqueCount="105">
  <si>
    <t>UNIDADE:</t>
  </si>
  <si>
    <t>Macapá</t>
  </si>
  <si>
    <t>Não Iniciada (1)</t>
  </si>
  <si>
    <t>LÍDER COMERCIAL:</t>
  </si>
  <si>
    <t>Jefferson Araújo</t>
  </si>
  <si>
    <t>Pendente (2)</t>
  </si>
  <si>
    <t>Em andamento, com atraso (3)</t>
  </si>
  <si>
    <t xml:space="preserve">META AMAPÁ FAMAP: </t>
  </si>
  <si>
    <r>
      <rPr>
        <b/>
        <sz val="9"/>
        <color rgb="FFFF0000"/>
        <rFont val="Arial"/>
        <family val="2"/>
      </rPr>
      <t xml:space="preserve">139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125</t>
    </r>
    <r>
      <rPr>
        <b/>
        <sz val="9"/>
        <rFont val="Arial"/>
        <family val="2"/>
      </rPr>
      <t xml:space="preserve"> ACAD</t>
    </r>
  </si>
  <si>
    <t>Em andamento (4)</t>
  </si>
  <si>
    <t>Concluído (5)</t>
  </si>
  <si>
    <t xml:space="preserve">META MACAPÁ SEAMA: </t>
  </si>
  <si>
    <r>
      <rPr>
        <b/>
        <sz val="9"/>
        <color rgb="FFFF0000"/>
        <rFont val="Arial"/>
        <family val="2"/>
      </rPr>
      <t xml:space="preserve">76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65</t>
    </r>
    <r>
      <rPr>
        <b/>
        <sz val="9"/>
        <rFont val="Arial"/>
        <family val="2"/>
      </rPr>
      <t xml:space="preserve"> ACAD</t>
    </r>
  </si>
  <si>
    <t>What ? / How?</t>
  </si>
  <si>
    <t>Why?</t>
  </si>
  <si>
    <t>Where?</t>
  </si>
  <si>
    <t>Who ?</t>
  </si>
  <si>
    <t>When?</t>
  </si>
  <si>
    <t>How Much?</t>
  </si>
  <si>
    <t>RESULTADOS</t>
  </si>
  <si>
    <t>Nº.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</si>
  <si>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</si>
  <si>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</si>
  <si>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</si>
  <si>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</si>
  <si>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</si>
  <si>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</si>
  <si>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</si>
  <si>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</si>
  <si>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</si>
  <si>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</si>
  <si>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</si>
  <si>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</si>
  <si>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</si>
  <si>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CANAL - ESCOLAS</t>
  </si>
  <si>
    <t>1.1</t>
  </si>
  <si>
    <t>Escola Coelho Neto (Registro AUVO)</t>
  </si>
  <si>
    <t>Porque gera captação de leads qualificados do ensino médio e alimenta o funil de graduação.</t>
  </si>
  <si>
    <t>Escola MCP</t>
  </si>
  <si>
    <t>FDV</t>
  </si>
  <si>
    <t>Conforme planejamento comercial, inicio de atividades em escolas.</t>
  </si>
  <si>
    <t>1.2</t>
  </si>
  <si>
    <t>Escola Reinaldo (Registro AUVO)</t>
  </si>
  <si>
    <t>Porque amplia a base de contatos e possibilita ações de conversão direta com potenciais alunos.</t>
  </si>
  <si>
    <t>1.3</t>
  </si>
  <si>
    <t>Escola Estadual Raimundo Damasceno (Registro AUVO)</t>
  </si>
  <si>
    <t>Porque aumenta a visibilidade institucional e cria funild de ingressantes.</t>
  </si>
  <si>
    <t>1.4</t>
  </si>
  <si>
    <t xml:space="preserve">(2 TURNOS) Conforme planejamento comercial, inicio de atividades em escolas. </t>
  </si>
  <si>
    <t>1.5</t>
  </si>
  <si>
    <t>1.6</t>
  </si>
  <si>
    <t>1.7</t>
  </si>
  <si>
    <t>AÇÕES CANAL - EMPRESAS</t>
  </si>
  <si>
    <t>2.1</t>
  </si>
  <si>
    <t>Skol - Distribuidora De Bebida (AUVO)</t>
  </si>
  <si>
    <t>Porque viabiliza convênio corporativo e gera leads com potencial de conversão.</t>
  </si>
  <si>
    <t>EMP MCP</t>
  </si>
  <si>
    <t>FDV + Gestor</t>
  </si>
  <si>
    <t>Ação agendada dentro do AUVO</t>
  </si>
  <si>
    <t>2.2</t>
  </si>
  <si>
    <t>Grupo Lojas Visual Fashion</t>
  </si>
  <si>
    <t>Porque permite acesso a público economicamente ativo com potencial para graduação e pós.</t>
  </si>
  <si>
    <t>2.3</t>
  </si>
  <si>
    <t>CEPAJOB (Centro de Ensino Profissionalizante do Amapá)</t>
  </si>
  <si>
    <t>Porque conecta com público profissionalizante, facilitando continuidade acadêmica.</t>
  </si>
  <si>
    <t>2.4</t>
  </si>
  <si>
    <t>Distribuidora Timbiras</t>
  </si>
  <si>
    <t>Porque amplia a base B2B e gera captação recorrente através dos colaboradores.</t>
  </si>
  <si>
    <t>2.5</t>
  </si>
  <si>
    <t>2.6</t>
  </si>
  <si>
    <t>2.7</t>
  </si>
  <si>
    <t>AÇÕES CANAL - TRADE</t>
  </si>
  <si>
    <t>3.1</t>
  </si>
  <si>
    <t>Trade digital (empresas de relacionamento)</t>
  </si>
  <si>
    <t>Porque amplia o alcance mais facilmente.</t>
  </si>
  <si>
    <t>MCP</t>
  </si>
  <si>
    <t>-</t>
  </si>
  <si>
    <t>3.2</t>
  </si>
  <si>
    <t>Trade Bairro central de Santana - AP</t>
  </si>
  <si>
    <t>Porque expande a presença territorial e acessa novos públicos.</t>
  </si>
  <si>
    <t>STN</t>
  </si>
  <si>
    <t>3.3</t>
  </si>
  <si>
    <t>Trade Zona Norte Macapá - AP</t>
  </si>
  <si>
    <t>Porque aumenta a visibilidade e possibilita captação em área de alto fluxo.</t>
  </si>
  <si>
    <t>3.4</t>
  </si>
  <si>
    <t>Trade Bairo Central Macapá - AP</t>
  </si>
  <si>
    <t>Porque fortalece a marca em região estratégica de grande circulação alem da captação de lead</t>
  </si>
  <si>
    <t>3.5</t>
  </si>
  <si>
    <t>Trade "Meio do Mundo" (Ponto turistico)</t>
  </si>
  <si>
    <t>Porque gera alta exposição da marca e captação por fluxo intenso de pessoas e potencial de inscritos e lead</t>
  </si>
  <si>
    <t>3.6</t>
  </si>
  <si>
    <t>META FINAL MF</t>
  </si>
  <si>
    <t>META FINAL  MA</t>
  </si>
  <si>
    <t>Forecast (%):</t>
  </si>
  <si>
    <t>ATUAL MF</t>
  </si>
  <si>
    <t>ATUAL MA</t>
  </si>
  <si>
    <t>Entrega MA</t>
  </si>
  <si>
    <t>GAP</t>
  </si>
  <si>
    <t>GAP MA</t>
  </si>
  <si>
    <t>GAP forecast</t>
  </si>
  <si>
    <t>Conversão atual SEAMA MF&gt;MA</t>
  </si>
  <si>
    <r>
      <t xml:space="preserve">META </t>
    </r>
    <r>
      <rPr>
        <sz val="11"/>
        <color rgb="FFFF0000"/>
        <rFont val="Calibri"/>
        <family val="2"/>
        <scheme val="minor"/>
      </rPr>
      <t>MF</t>
    </r>
    <r>
      <rPr>
        <sz val="11"/>
        <color theme="1"/>
        <rFont val="Calibri"/>
        <family val="2"/>
        <scheme val="minor"/>
      </rPr>
      <t xml:space="preserve"> NOVA PA</t>
    </r>
  </si>
  <si>
    <r>
      <t xml:space="preserve">META </t>
    </r>
    <r>
      <rPr>
        <sz val="11"/>
        <color rgb="FFFF0000"/>
        <rFont val="Calibri"/>
        <family val="2"/>
        <scheme val="minor"/>
      </rPr>
      <t>MA</t>
    </r>
    <r>
      <rPr>
        <sz val="11"/>
        <color theme="1"/>
        <rFont val="Calibri"/>
        <family val="2"/>
        <scheme val="minor"/>
      </rPr>
      <t xml:space="preserve"> NOVA PA</t>
    </r>
  </si>
  <si>
    <t>(META VER &amp; AGIR)</t>
  </si>
  <si>
    <t>Conversão atual FAMAP MF&gt;MA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</si>
</sst>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8" tint="0.79998168889431442"/>
      <name val="Arial"/>
      <family val="2"/>
    </font>
    <font>
      <b/>
      <sz val="9"/>
      <color theme="9" tint="0.59999389629810485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 applyProtection="1">
      <alignment horizontal="center" vertical="center" wrapText="1"/>
      <protection locked="0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9" fontId="0" fillId="0" borderId="0" xfId="0" applyNumberFormat="1"/>
    <xf numFmtId="0" fontId="0" fillId="6" borderId="0" xfId="0" applyFill="1"/>
    <xf numFmtId="0" fontId="0" fillId="7" borderId="0" xfId="0" applyFill="1"/>
    <xf numFmtId="0" fontId="0" fillId="9" borderId="0" xfId="0" applyFill="1"/>
    <xf numFmtId="0" fontId="0" fillId="7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9" borderId="0" xfId="0" applyFill="1" applyAlignment="1">
      <alignment horizontal="right"/>
    </xf>
    <xf numFmtId="1" fontId="0" fillId="9" borderId="0" xfId="0" applyNumberFormat="1" applyFill="1" applyAlignment="1">
      <alignment horizontal="right"/>
    </xf>
    <xf numFmtId="1" fontId="0" fillId="0" borderId="0" xfId="0" applyNumberFormat="1"/>
    <xf numFmtId="1" fontId="0" fillId="0" borderId="0" xfId="4" applyNumberFormat="1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10" borderId="0" xfId="0" applyFill="1"/>
    <xf numFmtId="9" fontId="0" fillId="10" borderId="0" xfId="0" applyNumberFormat="1" applyFill="1"/>
    <xf numFmtId="1" fontId="0" fillId="10" borderId="0" xfId="0" applyNumberFormat="1" applyFill="1"/>
    <xf numFmtId="0" fontId="0" fillId="11" borderId="0" xfId="0" applyFill="1"/>
    <xf numFmtId="1" fontId="17" fillId="11" borderId="0" xfId="0" applyNumberFormat="1" applyFont="1" applyFill="1"/>
    <xf numFmtId="0" fontId="12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9" fillId="3" borderId="5" xfId="0" applyFont="1" applyFill="1" applyBorder="1" applyAlignment="1">
      <alignment horizontal="left" vertical="center" wrapText="1" indent="1"/>
    </xf>
    <xf numFmtId="0" fontId="19" fillId="3" borderId="4" xfId="0" applyFont="1" applyFill="1" applyBorder="1" applyAlignment="1">
      <alignment horizontal="left" vertical="center" wrapText="1" indent="1"/>
    </xf>
    <xf numFmtId="0" fontId="7" fillId="7" borderId="5" xfId="0" applyFont="1" applyFill="1" applyBorder="1" applyAlignment="1">
      <alignment horizontal="left" vertical="center" wrapText="1" indent="1"/>
    </xf>
    <xf numFmtId="0" fontId="7" fillId="7" borderId="4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left" vertical="center" wrapText="1" indent="1"/>
    </xf>
    <xf numFmtId="0" fontId="14" fillId="3" borderId="4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wrapText="1"/>
    </xf>
    <xf numFmtId="0" fontId="15" fillId="5" borderId="9" xfId="0" applyFont="1" applyFill="1" applyBorder="1" applyAlignment="1">
      <alignment horizontal="left" vertical="center" indent="1"/>
    </xf>
    <xf numFmtId="0" fontId="15" fillId="5" borderId="4" xfId="0" applyFont="1" applyFill="1" applyBorder="1" applyAlignment="1">
      <alignment horizontal="left" vertical="center" indent="1"/>
    </xf>
    <xf numFmtId="0" fontId="8" fillId="0" borderId="0" xfId="0" applyFont="1" applyAlignment="1" applyProtection="1">
      <alignment horizontal="center" vertical="center" wrapText="1"/>
      <protection locked="0"/>
    </xf>
    <xf numFmtId="0" fontId="20" fillId="3" borderId="5" xfId="0" applyFont="1" applyFill="1" applyBorder="1" applyAlignment="1">
      <alignment horizontal="left" vertical="center" wrapText="1" indent="1"/>
    </xf>
    <xf numFmtId="0" fontId="20" fillId="3" borderId="4" xfId="0" applyFont="1" applyFill="1" applyBorder="1" applyAlignment="1">
      <alignment horizontal="left" vertical="center" wrapText="1" indent="1"/>
    </xf>
    <xf numFmtId="0" fontId="7" fillId="12" borderId="5" xfId="0" applyFont="1" applyFill="1" applyBorder="1" applyAlignment="1">
      <alignment horizontal="left" vertical="center" wrapText="1" indent="1"/>
    </xf>
    <xf numFmtId="0" fontId="7" fillId="12" borderId="4" xfId="0" applyFont="1" applyFill="1" applyBorder="1" applyAlignment="1">
      <alignment horizontal="left" vertical="center" wrapText="1" indent="1"/>
    </xf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18" fillId="0" borderId="0" xfId="0" applyFont="1" applyAlignment="1">
      <alignment horizontal="center"/>
    </xf>
  </cellXfs>
  <cellStyles count="5">
    <cellStyle name="Moeda" xfId="3" builtinId="4"/>
    <cellStyle name="Normal" xfId="0" builtinId="0"/>
    <cellStyle name="Normal 2 2" xfId="2" xr:uid="{C6B554DB-9FE0-4D17-AC95-30DF241D9555}"/>
    <cellStyle name="Porcentagem" xfId="4" builtinId="5"/>
    <cellStyle name="Vírgula" xfId="1" builtinId="3"/>
  </cellStyles>
  <dxfs count="0"/>
  <tableStyles count="0" defaultTableStyle="TableStyleMedium2" defaultPivotStyle="PivotStyleLight16"/>
  <colors>
    <mruColors>
      <color rgb="FFB4E028"/>
      <color rgb="FF0E5672"/>
      <color rgb="FF1E41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1</xdr:row>
      <xdr:rowOff>0</xdr:rowOff>
    </xdr:from>
    <xdr:to>
      <xdr:col>19</xdr:col>
      <xdr:colOff>448237</xdr:colOff>
      <xdr:row>24</xdr:row>
      <xdr:rowOff>158765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E80DC3-10CD-B97E-27C4-FA4DE18A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530" y="112059"/>
          <a:ext cx="11340353" cy="4540265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35</xdr:row>
      <xdr:rowOff>179031</xdr:rowOff>
    </xdr:from>
    <xdr:to>
      <xdr:col>19</xdr:col>
      <xdr:colOff>526677</xdr:colOff>
      <xdr:row>62</xdr:row>
      <xdr:rowOff>177178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9CF03E5-DE18-E5EE-3916-999259F36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5" y="6768090"/>
          <a:ext cx="11351558" cy="5141647"/>
        </a:xfrm>
        <a:prstGeom prst="rect">
          <a:avLst/>
        </a:prstGeom>
      </xdr:spPr>
    </xdr:pic>
    <xdr:clientData/>
  </xdr:twoCellAnchor>
  <xdr:twoCellAnchor editAs="oneCell">
    <xdr:from>
      <xdr:col>0</xdr:col>
      <xdr:colOff>450272</xdr:colOff>
      <xdr:row>64</xdr:row>
      <xdr:rowOff>121227</xdr:rowOff>
    </xdr:from>
    <xdr:to>
      <xdr:col>20</xdr:col>
      <xdr:colOff>436969</xdr:colOff>
      <xdr:row>83</xdr:row>
      <xdr:rowOff>83627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B18CB25-A819-4CE9-E1CE-1CB39D95F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272" y="12243954"/>
          <a:ext cx="12351879" cy="3581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124834</xdr:colOff>
      <xdr:row>24</xdr:row>
      <xdr:rowOff>153033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3CDBA7-DCEB-0117-B54F-8D3BF02F3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112059"/>
          <a:ext cx="11241069" cy="4534533"/>
        </a:xfrm>
        <a:prstGeom prst="rect">
          <a:avLst/>
        </a:prstGeom>
      </xdr:spPr>
    </xdr:pic>
    <xdr:clientData/>
  </xdr:twoCellAnchor>
  <xdr:twoCellAnchor>
    <xdr:from>
      <xdr:col>0</xdr:col>
      <xdr:colOff>515471</xdr:colOff>
      <xdr:row>3</xdr:row>
      <xdr:rowOff>100854</xdr:rowOff>
    </xdr:from>
    <xdr:to>
      <xdr:col>19</xdr:col>
      <xdr:colOff>212912</xdr:colOff>
      <xdr:row>10</xdr:row>
      <xdr:rowOff>78442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3E7F043-CE90-4EFC-9CBC-6A089A19330A}"/>
            </a:ext>
          </a:extLst>
        </xdr:cNvPr>
        <xdr:cNvSpPr/>
      </xdr:nvSpPr>
      <xdr:spPr>
        <a:xfrm>
          <a:off x="515471" y="593913"/>
          <a:ext cx="11418794" cy="1311088"/>
        </a:xfrm>
        <a:prstGeom prst="rect">
          <a:avLst/>
        </a:prstGeom>
        <a:noFill/>
        <a:ln w="19050">
          <a:solidFill>
            <a:srgbClr val="B4E0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92C9-5854-4E7F-B970-4730125EDE7C}">
  <sheetPr>
    <tabColor rgb="FFB4E028"/>
  </sheetPr>
  <dimension ref="B1:O35"/>
  <sheetViews>
    <sheetView showGridLines="0" tabSelected="1" topLeftCell="A4" zoomScale="70" zoomScaleNormal="70" workbookViewId="0">
      <selection activeCell="L29" activeCellId="2" sqref="L13 L21 L29"/>
    </sheetView>
  </sheetViews>
  <sheetFormatPr defaultColWidth="9.28515625" defaultRowHeight="14.25" outlineLevelRow="1"/>
  <cols>
    <col min="1" max="1" width="1.42578125" style="2" customWidth="1"/>
    <col min="2" max="2" width="17.85546875" style="48" bestFit="1" customWidth="1"/>
    <col min="3" max="3" width="55" style="49" customWidth="1"/>
    <col min="4" max="4" width="48.5703125" style="49" customWidth="1"/>
    <col min="5" max="5" width="13.7109375" style="49" customWidth="1"/>
    <col min="6" max="6" width="16.42578125" style="49" customWidth="1"/>
    <col min="7" max="10" width="10.42578125" style="49" customWidth="1"/>
    <col min="11" max="11" width="13.5703125" style="50" bestFit="1" customWidth="1"/>
    <col min="12" max="12" width="12.28515625" style="51" bestFit="1" customWidth="1"/>
    <col min="13" max="13" width="13.7109375" style="51" customWidth="1"/>
    <col min="14" max="14" width="7.28515625" style="49" bestFit="1" customWidth="1"/>
    <col min="15" max="15" width="62.42578125" style="49" customWidth="1"/>
    <col min="16" max="16384" width="9.28515625" style="2"/>
  </cols>
  <sheetData>
    <row r="1" spans="2:15" ht="7.5" customHeight="1" thickBot="1"/>
    <row r="2" spans="2:15" ht="8.65" customHeight="1">
      <c r="B2" s="89" t="s">
        <v>0</v>
      </c>
      <c r="C2" s="91" t="s">
        <v>1</v>
      </c>
      <c r="D2" s="52"/>
      <c r="E2" s="52"/>
      <c r="F2" s="53"/>
      <c r="G2" s="53"/>
      <c r="H2" s="53"/>
      <c r="I2" s="54"/>
      <c r="J2" s="54"/>
      <c r="K2" s="55"/>
      <c r="L2" s="56"/>
      <c r="M2" s="56"/>
      <c r="N2" s="54"/>
      <c r="O2" s="54"/>
    </row>
    <row r="3" spans="2:15" ht="15.75" customHeight="1" thickBot="1">
      <c r="B3" s="90"/>
      <c r="C3" s="92"/>
      <c r="D3" s="19"/>
      <c r="I3" s="57"/>
      <c r="J3" s="93"/>
      <c r="K3" s="93"/>
      <c r="L3" s="58"/>
      <c r="M3" s="18" t="s">
        <v>2</v>
      </c>
      <c r="N3" s="17">
        <v>1</v>
      </c>
    </row>
    <row r="4" spans="2:15" ht="15.75">
      <c r="B4" s="89" t="s">
        <v>3</v>
      </c>
      <c r="C4" s="94" t="s">
        <v>4</v>
      </c>
      <c r="D4" s="19"/>
      <c r="I4" s="57"/>
      <c r="J4" s="96"/>
      <c r="K4" s="96"/>
      <c r="L4" s="16"/>
      <c r="M4" s="18" t="s">
        <v>5</v>
      </c>
      <c r="N4" s="17">
        <v>2</v>
      </c>
    </row>
    <row r="5" spans="2:15" ht="15.75" thickBot="1">
      <c r="B5" s="90"/>
      <c r="C5" s="95"/>
      <c r="D5" s="52"/>
      <c r="I5" s="59"/>
      <c r="J5" s="54"/>
      <c r="K5" s="55"/>
      <c r="L5" s="56"/>
      <c r="M5" s="18" t="s">
        <v>6</v>
      </c>
      <c r="N5" s="17">
        <v>3</v>
      </c>
    </row>
    <row r="6" spans="2:15" ht="15.75" customHeight="1">
      <c r="B6" s="83" t="s">
        <v>7</v>
      </c>
      <c r="C6" s="85" t="s">
        <v>8</v>
      </c>
      <c r="D6" s="19"/>
      <c r="I6" s="57"/>
      <c r="J6" s="3"/>
      <c r="K6" s="60"/>
      <c r="L6" s="61"/>
      <c r="M6" s="18" t="s">
        <v>9</v>
      </c>
      <c r="N6" s="17">
        <v>4</v>
      </c>
    </row>
    <row r="7" spans="2:15" ht="15" thickBot="1">
      <c r="B7" s="84"/>
      <c r="C7" s="86"/>
      <c r="D7" s="19"/>
      <c r="I7" s="57"/>
      <c r="J7" s="3"/>
      <c r="K7" s="60"/>
      <c r="L7" s="61"/>
      <c r="M7" s="18" t="s">
        <v>10</v>
      </c>
      <c r="N7" s="17">
        <v>5</v>
      </c>
    </row>
    <row r="8" spans="2:15">
      <c r="B8" s="97" t="s">
        <v>11</v>
      </c>
      <c r="C8" s="99" t="s">
        <v>12</v>
      </c>
      <c r="D8" s="19"/>
      <c r="I8" s="57"/>
      <c r="J8" s="3"/>
      <c r="K8" s="60"/>
      <c r="L8" s="61"/>
      <c r="M8" s="81"/>
      <c r="N8" s="82"/>
    </row>
    <row r="9" spans="2:15" ht="14.25" customHeight="1" thickBot="1">
      <c r="B9" s="98"/>
      <c r="C9" s="100"/>
      <c r="D9" s="19"/>
      <c r="I9" s="57"/>
      <c r="J9" s="3"/>
      <c r="K9" s="60"/>
      <c r="L9" s="61"/>
      <c r="M9" s="81"/>
      <c r="N9" s="82"/>
    </row>
    <row r="10" spans="2:15" ht="8.65" customHeight="1">
      <c r="B10" s="3"/>
      <c r="C10" s="19"/>
      <c r="D10" s="3"/>
      <c r="E10" s="4"/>
      <c r="F10" s="5"/>
      <c r="G10" s="5"/>
      <c r="H10" s="5"/>
      <c r="I10" s="5"/>
      <c r="J10" s="3"/>
      <c r="K10" s="60"/>
      <c r="L10" s="61"/>
      <c r="M10" s="61"/>
      <c r="N10" s="3"/>
      <c r="O10" s="3"/>
    </row>
    <row r="11" spans="2:15" s="6" customFormat="1" ht="32.1" hidden="1" customHeight="1">
      <c r="B11" s="1"/>
      <c r="C11" s="1" t="s">
        <v>13</v>
      </c>
      <c r="D11" s="1" t="s">
        <v>14</v>
      </c>
      <c r="E11" s="1" t="s">
        <v>15</v>
      </c>
      <c r="F11" s="1" t="s">
        <v>16</v>
      </c>
      <c r="G11" s="1"/>
      <c r="H11" s="1"/>
      <c r="I11" s="87" t="s">
        <v>17</v>
      </c>
      <c r="J11" s="87"/>
      <c r="K11" s="13" t="s">
        <v>18</v>
      </c>
      <c r="L11" s="88" t="s">
        <v>19</v>
      </c>
      <c r="M11" s="88"/>
      <c r="N11" s="62"/>
      <c r="O11" s="63"/>
    </row>
    <row r="12" spans="2:15" s="7" customFormat="1" ht="33.75" customHeight="1">
      <c r="B12" s="26" t="s">
        <v>20</v>
      </c>
      <c r="C12" s="27" t="s">
        <v>21</v>
      </c>
      <c r="D12" s="27" t="s">
        <v>22</v>
      </c>
      <c r="E12" s="27" t="s">
        <v>23</v>
      </c>
      <c r="F12" s="27" t="s">
        <v>24</v>
      </c>
      <c r="G12" s="27" t="s">
        <v>25</v>
      </c>
      <c r="H12" s="27" t="s">
        <v>26</v>
      </c>
      <c r="I12" s="27" t="s">
        <v>27</v>
      </c>
      <c r="J12" s="27" t="s">
        <v>28</v>
      </c>
      <c r="K12" s="28" t="s">
        <v>29</v>
      </c>
      <c r="L12" s="29" t="s">
        <v>30</v>
      </c>
      <c r="M12" s="43" t="s">
        <v>31</v>
      </c>
      <c r="N12" s="47" t="s">
        <v>32</v>
      </c>
      <c r="O12" s="44" t="s">
        <v>33</v>
      </c>
    </row>
    <row r="13" spans="2:15" s="7" customFormat="1" ht="29.25" customHeight="1">
      <c r="B13" s="30">
        <v>1</v>
      </c>
      <c r="C13" s="20" t="s">
        <v>34</v>
      </c>
      <c r="D13" s="25"/>
      <c r="E13" s="25"/>
      <c r="F13" s="31"/>
      <c r="G13" s="31"/>
      <c r="H13" s="31"/>
      <c r="I13" s="21"/>
      <c r="J13" s="21"/>
      <c r="K13" s="22">
        <v>0</v>
      </c>
      <c r="L13" s="32">
        <f>SUM(L14:L20)</f>
        <v>85</v>
      </c>
      <c r="M13" s="23">
        <f>SUM(M14:M20)</f>
        <v>0</v>
      </c>
      <c r="N13" s="24">
        <v>1</v>
      </c>
      <c r="O13" s="45"/>
    </row>
    <row r="14" spans="2:15" s="7" customFormat="1" ht="25.5" outlineLevel="1">
      <c r="B14" s="33" t="s">
        <v>35</v>
      </c>
      <c r="C14" s="15" t="s">
        <v>36</v>
      </c>
      <c r="D14" s="15" t="s">
        <v>37</v>
      </c>
      <c r="E14" s="34" t="s">
        <v>38</v>
      </c>
      <c r="F14" s="35" t="s">
        <v>39</v>
      </c>
      <c r="G14" s="36">
        <v>46108</v>
      </c>
      <c r="H14" s="36"/>
      <c r="I14" s="36">
        <v>46108</v>
      </c>
      <c r="J14" s="36">
        <v>46108</v>
      </c>
      <c r="K14" s="14">
        <v>0</v>
      </c>
      <c r="L14" s="37">
        <v>20</v>
      </c>
      <c r="M14" s="9"/>
      <c r="N14" s="10">
        <v>5</v>
      </c>
      <c r="O14" s="46" t="s">
        <v>40</v>
      </c>
    </row>
    <row r="15" spans="2:15" s="7" customFormat="1" ht="12.75" customHeight="1" outlineLevel="1">
      <c r="B15" s="38" t="s">
        <v>41</v>
      </c>
      <c r="C15" s="11" t="s">
        <v>42</v>
      </c>
      <c r="D15" s="15" t="s">
        <v>43</v>
      </c>
      <c r="E15" s="34" t="s">
        <v>38</v>
      </c>
      <c r="F15" s="35" t="s">
        <v>39</v>
      </c>
      <c r="G15" s="36">
        <v>46108</v>
      </c>
      <c r="H15" s="36"/>
      <c r="I15" s="36">
        <v>46108</v>
      </c>
      <c r="J15" s="36">
        <v>46108</v>
      </c>
      <c r="K15" s="14">
        <v>0</v>
      </c>
      <c r="L15" s="40">
        <v>20</v>
      </c>
      <c r="M15" s="12"/>
      <c r="N15" s="10">
        <v>5</v>
      </c>
      <c r="O15" s="46" t="s">
        <v>40</v>
      </c>
    </row>
    <row r="16" spans="2:15" s="7" customFormat="1" ht="12.75" customHeight="1" outlineLevel="1">
      <c r="B16" s="38" t="s">
        <v>44</v>
      </c>
      <c r="C16" s="11" t="s">
        <v>45</v>
      </c>
      <c r="D16" s="15" t="s">
        <v>46</v>
      </c>
      <c r="E16" s="34" t="s">
        <v>38</v>
      </c>
      <c r="F16" s="35" t="s">
        <v>39</v>
      </c>
      <c r="G16" s="36">
        <v>46108</v>
      </c>
      <c r="H16" s="36"/>
      <c r="I16" s="36">
        <v>46108</v>
      </c>
      <c r="J16" s="36">
        <v>46108</v>
      </c>
      <c r="K16" s="14">
        <v>0</v>
      </c>
      <c r="L16" s="40">
        <v>20</v>
      </c>
      <c r="M16" s="12"/>
      <c r="N16" s="10">
        <v>5</v>
      </c>
      <c r="O16" s="46" t="s">
        <v>40</v>
      </c>
    </row>
    <row r="17" spans="2:15" s="7" customFormat="1" ht="12.75" customHeight="1" outlineLevel="1">
      <c r="B17" s="38" t="s">
        <v>47</v>
      </c>
      <c r="C17" s="11"/>
      <c r="D17" s="15"/>
      <c r="E17" s="34"/>
      <c r="F17" s="35" t="s">
        <v>39</v>
      </c>
      <c r="G17" s="36">
        <v>46112</v>
      </c>
      <c r="H17" s="36"/>
      <c r="I17" s="8"/>
      <c r="J17" s="8"/>
      <c r="K17" s="14">
        <v>0</v>
      </c>
      <c r="L17" s="40">
        <v>25</v>
      </c>
      <c r="M17" s="12"/>
      <c r="N17" s="10">
        <v>4</v>
      </c>
      <c r="O17" s="46" t="s">
        <v>48</v>
      </c>
    </row>
    <row r="18" spans="2:15" s="7" customFormat="1" ht="12.75" customHeight="1" outlineLevel="1">
      <c r="B18" s="38" t="s">
        <v>49</v>
      </c>
      <c r="C18" s="11"/>
      <c r="D18" s="15"/>
      <c r="E18" s="34"/>
      <c r="F18" s="35" t="s">
        <v>39</v>
      </c>
      <c r="G18" s="36"/>
      <c r="H18" s="36"/>
      <c r="I18" s="8"/>
      <c r="J18" s="8"/>
      <c r="K18" s="14">
        <v>0</v>
      </c>
      <c r="L18" s="40"/>
      <c r="M18" s="12"/>
      <c r="N18" s="10">
        <v>1</v>
      </c>
      <c r="O18" s="46"/>
    </row>
    <row r="19" spans="2:15" s="7" customFormat="1" ht="12.75" customHeight="1" outlineLevel="1">
      <c r="B19" s="38" t="s">
        <v>50</v>
      </c>
      <c r="C19" s="11"/>
      <c r="D19" s="15"/>
      <c r="E19" s="34"/>
      <c r="F19" s="35" t="s">
        <v>39</v>
      </c>
      <c r="G19" s="36"/>
      <c r="H19" s="36"/>
      <c r="I19" s="8"/>
      <c r="J19" s="8"/>
      <c r="K19" s="14">
        <v>0</v>
      </c>
      <c r="L19" s="40"/>
      <c r="M19" s="12"/>
      <c r="N19" s="10">
        <v>1</v>
      </c>
      <c r="O19" s="46"/>
    </row>
    <row r="20" spans="2:15" s="7" customFormat="1" ht="12.75" customHeight="1" outlineLevel="1">
      <c r="B20" s="38" t="s">
        <v>51</v>
      </c>
      <c r="C20" s="11"/>
      <c r="D20" s="11"/>
      <c r="E20" s="11"/>
      <c r="F20" s="35" t="s">
        <v>39</v>
      </c>
      <c r="G20" s="39"/>
      <c r="H20" s="39"/>
      <c r="I20" s="8"/>
      <c r="J20" s="8"/>
      <c r="K20" s="14">
        <v>0</v>
      </c>
      <c r="L20" s="40"/>
      <c r="M20" s="12"/>
      <c r="N20" s="10">
        <v>1</v>
      </c>
      <c r="O20" s="46"/>
    </row>
    <row r="21" spans="2:15" s="7" customFormat="1" ht="25.15" customHeight="1">
      <c r="B21" s="30">
        <v>2</v>
      </c>
      <c r="C21" s="20" t="s">
        <v>52</v>
      </c>
      <c r="D21" s="25"/>
      <c r="E21" s="25"/>
      <c r="F21" s="31"/>
      <c r="G21" s="31"/>
      <c r="H21" s="31"/>
      <c r="I21" s="21"/>
      <c r="J21" s="21"/>
      <c r="K21" s="22">
        <v>0</v>
      </c>
      <c r="L21" s="32">
        <f>SUM(L22:L28)</f>
        <v>51</v>
      </c>
      <c r="M21" s="23">
        <f>SUM(M22:M28)</f>
        <v>0</v>
      </c>
      <c r="N21" s="24">
        <v>1</v>
      </c>
      <c r="O21" s="45"/>
    </row>
    <row r="22" spans="2:15" s="7" customFormat="1" ht="12.75" customHeight="1" outlineLevel="1">
      <c r="B22" s="38" t="s">
        <v>53</v>
      </c>
      <c r="C22" s="11" t="s">
        <v>54</v>
      </c>
      <c r="D22" s="11" t="s">
        <v>55</v>
      </c>
      <c r="E22" s="41" t="s">
        <v>56</v>
      </c>
      <c r="F22" s="35" t="s">
        <v>57</v>
      </c>
      <c r="G22" s="36">
        <v>46109</v>
      </c>
      <c r="H22" s="36"/>
      <c r="I22" s="8"/>
      <c r="J22" s="8"/>
      <c r="K22" s="14">
        <v>0</v>
      </c>
      <c r="L22" s="40">
        <v>12</v>
      </c>
      <c r="M22" s="12"/>
      <c r="N22" s="10">
        <v>4</v>
      </c>
      <c r="O22" s="46" t="s">
        <v>58</v>
      </c>
    </row>
    <row r="23" spans="2:15" s="7" customFormat="1" ht="12.75" customHeight="1" outlineLevel="1">
      <c r="B23" s="38" t="s">
        <v>59</v>
      </c>
      <c r="C23" s="11" t="s">
        <v>60</v>
      </c>
      <c r="D23" s="11" t="s">
        <v>61</v>
      </c>
      <c r="E23" s="41" t="s">
        <v>56</v>
      </c>
      <c r="F23" s="35" t="s">
        <v>57</v>
      </c>
      <c r="G23" s="36">
        <v>46113</v>
      </c>
      <c r="H23" s="36"/>
      <c r="I23" s="8"/>
      <c r="J23" s="8"/>
      <c r="K23" s="14">
        <v>0</v>
      </c>
      <c r="L23" s="40">
        <v>12</v>
      </c>
      <c r="M23" s="12"/>
      <c r="N23" s="10">
        <v>4</v>
      </c>
      <c r="O23" s="46" t="s">
        <v>58</v>
      </c>
    </row>
    <row r="24" spans="2:15" s="7" customFormat="1" ht="12.75" customHeight="1" outlineLevel="1">
      <c r="B24" s="38" t="s">
        <v>62</v>
      </c>
      <c r="C24" s="11" t="s">
        <v>63</v>
      </c>
      <c r="D24" s="11" t="s">
        <v>64</v>
      </c>
      <c r="E24" s="41" t="s">
        <v>56</v>
      </c>
      <c r="F24" s="35" t="s">
        <v>57</v>
      </c>
      <c r="G24" s="36">
        <v>46112</v>
      </c>
      <c r="H24" s="36"/>
      <c r="I24" s="8"/>
      <c r="J24" s="8"/>
      <c r="K24" s="14">
        <v>0</v>
      </c>
      <c r="L24" s="40">
        <v>15</v>
      </c>
      <c r="M24" s="12"/>
      <c r="N24" s="10">
        <v>4</v>
      </c>
      <c r="O24" s="46" t="s">
        <v>58</v>
      </c>
    </row>
    <row r="25" spans="2:15" s="7" customFormat="1" ht="12.75" customHeight="1" outlineLevel="1">
      <c r="B25" s="38" t="s">
        <v>65</v>
      </c>
      <c r="C25" s="11" t="s">
        <v>66</v>
      </c>
      <c r="D25" s="11" t="s">
        <v>67</v>
      </c>
      <c r="E25" s="41" t="s">
        <v>56</v>
      </c>
      <c r="F25" s="35" t="s">
        <v>57</v>
      </c>
      <c r="G25" s="36">
        <v>46112</v>
      </c>
      <c r="H25" s="36"/>
      <c r="I25" s="8"/>
      <c r="J25" s="8"/>
      <c r="K25" s="14">
        <v>0</v>
      </c>
      <c r="L25" s="40">
        <v>12</v>
      </c>
      <c r="M25" s="12"/>
      <c r="N25" s="10">
        <v>4</v>
      </c>
      <c r="O25" s="46" t="s">
        <v>58</v>
      </c>
    </row>
    <row r="26" spans="2:15" s="7" customFormat="1" ht="12.75" customHeight="1" outlineLevel="1">
      <c r="B26" s="38" t="s">
        <v>68</v>
      </c>
      <c r="C26" s="11"/>
      <c r="D26" s="11"/>
      <c r="E26" s="41" t="s">
        <v>56</v>
      </c>
      <c r="F26" s="35" t="s">
        <v>57</v>
      </c>
      <c r="G26" s="36"/>
      <c r="H26" s="36"/>
      <c r="I26" s="8"/>
      <c r="J26" s="8"/>
      <c r="K26" s="14">
        <v>0</v>
      </c>
      <c r="L26" s="40"/>
      <c r="M26" s="12"/>
      <c r="N26" s="10">
        <v>1</v>
      </c>
      <c r="O26" s="46"/>
    </row>
    <row r="27" spans="2:15" s="7" customFormat="1" ht="12.75" customHeight="1" outlineLevel="1">
      <c r="B27" s="38" t="s">
        <v>69</v>
      </c>
      <c r="C27" s="11"/>
      <c r="D27" s="11"/>
      <c r="E27" s="41" t="s">
        <v>56</v>
      </c>
      <c r="F27" s="35" t="s">
        <v>57</v>
      </c>
      <c r="G27" s="36"/>
      <c r="H27" s="36"/>
      <c r="I27" s="8"/>
      <c r="J27" s="8"/>
      <c r="K27" s="14">
        <v>0</v>
      </c>
      <c r="L27" s="40"/>
      <c r="M27" s="12"/>
      <c r="N27" s="10">
        <v>1</v>
      </c>
      <c r="O27" s="46"/>
    </row>
    <row r="28" spans="2:15" s="7" customFormat="1" ht="12.75" customHeight="1" outlineLevel="1">
      <c r="B28" s="38" t="s">
        <v>70</v>
      </c>
      <c r="C28" s="11"/>
      <c r="D28" s="11"/>
      <c r="E28" s="41" t="s">
        <v>56</v>
      </c>
      <c r="F28" s="35" t="s">
        <v>57</v>
      </c>
      <c r="G28" s="39"/>
      <c r="H28" s="39"/>
      <c r="I28" s="8"/>
      <c r="J28" s="8"/>
      <c r="K28" s="14">
        <v>0</v>
      </c>
      <c r="L28" s="40"/>
      <c r="M28" s="12"/>
      <c r="N28" s="10">
        <v>1</v>
      </c>
      <c r="O28" s="46"/>
    </row>
    <row r="29" spans="2:15" s="7" customFormat="1" ht="25.15" customHeight="1">
      <c r="B29" s="30">
        <v>3</v>
      </c>
      <c r="C29" s="20" t="s">
        <v>71</v>
      </c>
      <c r="D29" s="25"/>
      <c r="E29" s="25"/>
      <c r="F29" s="31"/>
      <c r="G29" s="31"/>
      <c r="H29" s="31"/>
      <c r="I29" s="21"/>
      <c r="J29" s="21"/>
      <c r="K29" s="22">
        <v>0</v>
      </c>
      <c r="L29" s="32">
        <f>SUM(L30:L36)</f>
        <v>80</v>
      </c>
      <c r="M29" s="23">
        <f>SUM(M30:M36)</f>
        <v>0</v>
      </c>
      <c r="N29" s="24">
        <v>1</v>
      </c>
      <c r="O29" s="45"/>
    </row>
    <row r="30" spans="2:15" s="7" customFormat="1" ht="12.75" customHeight="1" outlineLevel="1">
      <c r="B30" s="38" t="s">
        <v>72</v>
      </c>
      <c r="C30" s="11" t="s">
        <v>73</v>
      </c>
      <c r="D30" s="11" t="s">
        <v>74</v>
      </c>
      <c r="E30" s="41" t="s">
        <v>75</v>
      </c>
      <c r="F30" s="39" t="s">
        <v>39</v>
      </c>
      <c r="G30" s="42" t="s">
        <v>76</v>
      </c>
      <c r="H30" s="42"/>
      <c r="I30" s="8"/>
      <c r="J30" s="8"/>
      <c r="K30" s="14">
        <v>0</v>
      </c>
      <c r="L30" s="40">
        <v>20</v>
      </c>
      <c r="M30" s="12"/>
      <c r="N30" s="10">
        <v>4</v>
      </c>
      <c r="O30" s="46"/>
    </row>
    <row r="31" spans="2:15" s="7" customFormat="1" ht="12.75" customHeight="1" outlineLevel="1">
      <c r="B31" s="38" t="s">
        <v>77</v>
      </c>
      <c r="C31" s="11" t="s">
        <v>78</v>
      </c>
      <c r="D31" s="11" t="s">
        <v>79</v>
      </c>
      <c r="E31" s="41" t="s">
        <v>80</v>
      </c>
      <c r="F31" s="39" t="s">
        <v>39</v>
      </c>
      <c r="G31" s="42">
        <v>46114</v>
      </c>
      <c r="H31" s="42"/>
      <c r="I31" s="8"/>
      <c r="J31" s="8"/>
      <c r="K31" s="14">
        <v>0</v>
      </c>
      <c r="L31" s="40">
        <v>15</v>
      </c>
      <c r="M31" s="12"/>
      <c r="N31" s="10">
        <v>4</v>
      </c>
      <c r="O31" s="46"/>
    </row>
    <row r="32" spans="2:15" s="7" customFormat="1" ht="12.75" customHeight="1" outlineLevel="1">
      <c r="B32" s="38" t="s">
        <v>81</v>
      </c>
      <c r="C32" s="11" t="s">
        <v>82</v>
      </c>
      <c r="D32" s="11" t="s">
        <v>83</v>
      </c>
      <c r="E32" s="41" t="s">
        <v>75</v>
      </c>
      <c r="F32" s="39" t="s">
        <v>39</v>
      </c>
      <c r="G32" s="42">
        <v>46115</v>
      </c>
      <c r="H32" s="42"/>
      <c r="I32" s="8"/>
      <c r="J32" s="8"/>
      <c r="K32" s="14">
        <v>0</v>
      </c>
      <c r="L32" s="40">
        <v>15</v>
      </c>
      <c r="M32" s="12"/>
      <c r="N32" s="10">
        <v>4</v>
      </c>
      <c r="O32" s="46"/>
    </row>
    <row r="33" spans="2:15" s="7" customFormat="1" ht="12.75" customHeight="1" outlineLevel="1">
      <c r="B33" s="38" t="s">
        <v>84</v>
      </c>
      <c r="C33" s="11" t="s">
        <v>85</v>
      </c>
      <c r="D33" s="11" t="s">
        <v>86</v>
      </c>
      <c r="E33" s="41" t="s">
        <v>75</v>
      </c>
      <c r="F33" s="39" t="s">
        <v>39</v>
      </c>
      <c r="G33" s="42">
        <v>46116</v>
      </c>
      <c r="H33" s="42"/>
      <c r="I33" s="8"/>
      <c r="J33" s="8"/>
      <c r="K33" s="14">
        <v>0</v>
      </c>
      <c r="L33" s="40">
        <v>15</v>
      </c>
      <c r="M33" s="12"/>
      <c r="N33" s="10">
        <v>4</v>
      </c>
      <c r="O33" s="46"/>
    </row>
    <row r="34" spans="2:15" s="7" customFormat="1" ht="12.75" customHeight="1" outlineLevel="1">
      <c r="B34" s="38" t="s">
        <v>87</v>
      </c>
      <c r="C34" s="11" t="s">
        <v>88</v>
      </c>
      <c r="D34" s="11" t="s">
        <v>89</v>
      </c>
      <c r="E34" s="41" t="s">
        <v>75</v>
      </c>
      <c r="F34" s="39" t="s">
        <v>39</v>
      </c>
      <c r="G34" s="42">
        <v>46116</v>
      </c>
      <c r="H34" s="42"/>
      <c r="I34" s="8"/>
      <c r="J34" s="8"/>
      <c r="K34" s="14">
        <v>0</v>
      </c>
      <c r="L34" s="40">
        <v>15</v>
      </c>
      <c r="M34" s="12"/>
      <c r="N34" s="10">
        <v>1</v>
      </c>
      <c r="O34" s="46"/>
    </row>
    <row r="35" spans="2:15" s="7" customFormat="1" ht="12.75" customHeight="1" outlineLevel="1">
      <c r="B35" s="38" t="s">
        <v>90</v>
      </c>
      <c r="C35" s="11"/>
      <c r="D35" s="11"/>
      <c r="E35" s="11"/>
      <c r="F35" s="39" t="s">
        <v>39</v>
      </c>
      <c r="G35" s="39"/>
      <c r="H35" s="39"/>
      <c r="I35" s="8"/>
      <c r="J35" s="8"/>
      <c r="K35" s="14">
        <v>0</v>
      </c>
      <c r="L35" s="40"/>
      <c r="M35" s="12"/>
      <c r="N35" s="10">
        <v>1</v>
      </c>
      <c r="O35" s="46"/>
    </row>
  </sheetData>
  <mergeCells count="12">
    <mergeCell ref="B6:B7"/>
    <mergeCell ref="C6:C7"/>
    <mergeCell ref="I11:J11"/>
    <mergeCell ref="L11:M11"/>
    <mergeCell ref="B2:B3"/>
    <mergeCell ref="C2:C3"/>
    <mergeCell ref="J3:K3"/>
    <mergeCell ref="B4:B5"/>
    <mergeCell ref="C4:C5"/>
    <mergeCell ref="J4:K4"/>
    <mergeCell ref="B8:B9"/>
    <mergeCell ref="C8:C9"/>
  </mergeCells>
  <dataValidations count="1">
    <dataValidation type="list" allowBlank="1" showInputMessage="1" showErrorMessage="1" sqref="N13:N35" xr:uid="{5200406E-C59E-4941-A80A-5FE719605E16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643ECC9-CF86-4D75-9A90-A32F3FE5A164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N3:N9</xm:sqref>
        </x14:conditionalFormatting>
        <x14:conditionalFormatting xmlns:xm="http://schemas.microsoft.com/office/excel/2006/main">
          <x14:cfRule type="iconSet" priority="2" id="{D5763BF4-C2D9-4B0C-B210-094729F6EDFF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N13:N35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7717-4C3E-466A-A9E9-8C9BD94BA7C6}">
  <sheetPr>
    <tabColor rgb="FF0E5672"/>
  </sheetPr>
  <dimension ref="H1:R34"/>
  <sheetViews>
    <sheetView showGridLines="0" topLeftCell="A22" zoomScaleNormal="100" workbookViewId="0">
      <selection activeCell="L33" sqref="L33"/>
    </sheetView>
  </sheetViews>
  <sheetFormatPr defaultRowHeight="15"/>
  <cols>
    <col min="1" max="1" width="12.5703125" customWidth="1"/>
    <col min="2" max="3" width="8.28515625" customWidth="1"/>
    <col min="6" max="6" width="15.5703125" bestFit="1" customWidth="1"/>
    <col min="8" max="8" width="18.140625" bestFit="1" customWidth="1"/>
    <col min="9" max="9" width="5.140625" bestFit="1" customWidth="1"/>
    <col min="10" max="10" width="1.42578125" customWidth="1"/>
    <col min="11" max="11" width="18.42578125" bestFit="1" customWidth="1"/>
    <col min="12" max="12" width="5.140625" bestFit="1" customWidth="1"/>
    <col min="13" max="13" width="1.42578125" customWidth="1"/>
    <col min="14" max="14" width="12.7109375" bestFit="1" customWidth="1"/>
    <col min="15" max="15" width="5.140625" bestFit="1" customWidth="1"/>
  </cols>
  <sheetData>
    <row r="1" ht="9" customHeight="1"/>
    <row r="26" spans="8:18">
      <c r="H26" s="65" t="s">
        <v>91</v>
      </c>
      <c r="I26" s="69">
        <v>1431</v>
      </c>
      <c r="K26" s="66" t="s">
        <v>92</v>
      </c>
      <c r="L26" s="68">
        <v>1257</v>
      </c>
      <c r="N26" s="76" t="s">
        <v>93</v>
      </c>
      <c r="O26" s="77">
        <v>0.96</v>
      </c>
    </row>
    <row r="27" spans="8:18">
      <c r="H27" s="65" t="s">
        <v>94</v>
      </c>
      <c r="I27" s="69">
        <v>1199</v>
      </c>
      <c r="K27" s="66" t="s">
        <v>95</v>
      </c>
      <c r="L27" s="68">
        <v>1082</v>
      </c>
      <c r="N27" s="76" t="s">
        <v>96</v>
      </c>
      <c r="O27" s="78">
        <f>L26*O26</f>
        <v>1206.72</v>
      </c>
    </row>
    <row r="28" spans="8:18">
      <c r="H28" s="65" t="s">
        <v>97</v>
      </c>
      <c r="I28" s="69">
        <f>I26-I27</f>
        <v>232</v>
      </c>
      <c r="K28" s="66" t="s">
        <v>98</v>
      </c>
      <c r="L28" s="68">
        <f>L26-L27</f>
        <v>175</v>
      </c>
      <c r="N28" s="79" t="s">
        <v>99</v>
      </c>
      <c r="O28" s="80">
        <f>O27-L27</f>
        <v>124.72000000000003</v>
      </c>
    </row>
    <row r="29" spans="8:18">
      <c r="P29" s="74"/>
      <c r="Q29" s="75"/>
    </row>
    <row r="30" spans="8:18">
      <c r="H30" s="101" t="s">
        <v>100</v>
      </c>
      <c r="I30" s="101"/>
      <c r="J30" s="101"/>
      <c r="K30" s="101"/>
      <c r="L30" s="101"/>
      <c r="R30" s="64"/>
    </row>
    <row r="31" spans="8:18">
      <c r="H31" s="102">
        <v>0.9</v>
      </c>
      <c r="I31" s="101"/>
      <c r="J31" s="101"/>
      <c r="K31" s="101"/>
      <c r="L31" s="101"/>
      <c r="O31" s="72"/>
    </row>
    <row r="32" spans="8:18">
      <c r="R32" s="73"/>
    </row>
    <row r="33" spans="8:12">
      <c r="H33" s="65" t="s">
        <v>101</v>
      </c>
      <c r="I33" s="69">
        <v>139</v>
      </c>
      <c r="K33" s="67" t="s">
        <v>102</v>
      </c>
      <c r="L33" s="70">
        <f>I33*H31</f>
        <v>125.10000000000001</v>
      </c>
    </row>
    <row r="34" spans="8:12">
      <c r="H34" s="103" t="s">
        <v>103</v>
      </c>
      <c r="I34" s="103"/>
      <c r="K34" s="103" t="s">
        <v>103</v>
      </c>
      <c r="L34" s="103"/>
    </row>
  </sheetData>
  <mergeCells count="4">
    <mergeCell ref="H30:L30"/>
    <mergeCell ref="H31:L31"/>
    <mergeCell ref="K34:L34"/>
    <mergeCell ref="H34:I3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A4A4-FEE1-436C-85B3-0AF4F754E2CD}">
  <sheetPr>
    <tabColor rgb="FF0E5672"/>
  </sheetPr>
  <dimension ref="H1:O34"/>
  <sheetViews>
    <sheetView showGridLines="0" topLeftCell="E23" zoomScale="145" zoomScaleNormal="145" workbookViewId="0">
      <selection activeCell="L28" sqref="L28"/>
    </sheetView>
  </sheetViews>
  <sheetFormatPr defaultRowHeight="15"/>
  <cols>
    <col min="6" max="6" width="15.5703125" bestFit="1" customWidth="1"/>
    <col min="8" max="8" width="18.140625" bestFit="1" customWidth="1"/>
    <col min="9" max="9" width="5.140625" bestFit="1" customWidth="1"/>
    <col min="10" max="10" width="1.42578125" customWidth="1"/>
    <col min="11" max="11" width="18.42578125" bestFit="1" customWidth="1"/>
    <col min="12" max="12" width="5.140625" bestFit="1" customWidth="1"/>
    <col min="13" max="13" width="1.42578125" customWidth="1"/>
    <col min="15" max="15" width="10.28515625" bestFit="1" customWidth="1"/>
  </cols>
  <sheetData>
    <row r="1" ht="9" customHeight="1"/>
    <row r="26" spans="8:15">
      <c r="H26" s="65" t="s">
        <v>91</v>
      </c>
      <c r="I26" s="69">
        <v>683</v>
      </c>
      <c r="K26" s="66" t="s">
        <v>92</v>
      </c>
      <c r="L26" s="68">
        <v>582</v>
      </c>
    </row>
    <row r="27" spans="8:15">
      <c r="H27" s="65" t="s">
        <v>94</v>
      </c>
      <c r="I27" s="69">
        <v>604</v>
      </c>
      <c r="K27" s="66" t="s">
        <v>95</v>
      </c>
      <c r="L27" s="68">
        <v>517</v>
      </c>
      <c r="O27" s="64"/>
    </row>
    <row r="28" spans="8:15">
      <c r="H28" s="65" t="s">
        <v>97</v>
      </c>
      <c r="I28" s="69">
        <f>I26-I27</f>
        <v>79</v>
      </c>
      <c r="K28" s="66" t="s">
        <v>98</v>
      </c>
      <c r="L28" s="68">
        <f>L26-L27</f>
        <v>65</v>
      </c>
    </row>
    <row r="30" spans="8:15">
      <c r="H30" s="101" t="s">
        <v>104</v>
      </c>
      <c r="I30" s="101"/>
      <c r="J30" s="101"/>
      <c r="K30" s="101"/>
      <c r="L30" s="101"/>
    </row>
    <row r="31" spans="8:15">
      <c r="H31" s="102">
        <v>0.86</v>
      </c>
      <c r="I31" s="101"/>
      <c r="J31" s="101"/>
      <c r="K31" s="101"/>
      <c r="L31" s="101"/>
    </row>
    <row r="33" spans="8:12">
      <c r="H33" s="65" t="s">
        <v>101</v>
      </c>
      <c r="I33" s="69">
        <v>76</v>
      </c>
      <c r="K33" s="67" t="s">
        <v>102</v>
      </c>
      <c r="L33" s="71">
        <f>I33*H31</f>
        <v>65.36</v>
      </c>
    </row>
    <row r="34" spans="8:12">
      <c r="H34" s="103" t="s">
        <v>103</v>
      </c>
      <c r="I34" s="103"/>
      <c r="K34" s="103" t="s">
        <v>103</v>
      </c>
      <c r="L34" s="103"/>
    </row>
  </sheetData>
  <mergeCells count="4">
    <mergeCell ref="H30:L30"/>
    <mergeCell ref="H31:L31"/>
    <mergeCell ref="H34:I34"/>
    <mergeCell ref="K34:L34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a923c1c-514b-43b9-8960-ec459a414e5e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5509B1-2AF3-4F02-9E20-B257A74CD3F8}"/>
</file>

<file path=customXml/itemProps2.xml><?xml version="1.0" encoding="utf-8"?>
<ds:datastoreItem xmlns:ds="http://schemas.openxmlformats.org/officeDocument/2006/customXml" ds:itemID="{7B6DB56E-2D49-44C8-9723-74947B72004C}"/>
</file>

<file path=customXml/itemProps3.xml><?xml version="1.0" encoding="utf-8"?>
<ds:datastoreItem xmlns:ds="http://schemas.openxmlformats.org/officeDocument/2006/customXml" ds:itemID="{04EAFAA1-4E03-4DE0-A302-E6C4FA1620F5}"/>
</file>

<file path=docMetadata/LabelInfo.xml><?xml version="1.0" encoding="utf-8"?>
<clbl:labelList xmlns:clbl="http://schemas.microsoft.com/office/2020/mipLabelMetadata">
  <clbl:label id="{d921a7ff-3e78-486d-a8d9-51d17cf22700}" enabled="1" method="Standard" siteId="{29e081cc-983f-4d52-b1d0-103595213bc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/>
  <cp:revision/>
  <dcterms:created xsi:type="dcterms:W3CDTF">2022-06-13T20:59:16Z</dcterms:created>
  <dcterms:modified xsi:type="dcterms:W3CDTF">2026-03-28T23:30:11Z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