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dias\Desktop\Ver e Agir\Ver e Agir Mar2026\"/>
    </mc:Choice>
  </mc:AlternateContent>
  <xr:revisionPtr revIDLastSave="0" documentId="13_ncr:1_{5279BA2E-42A9-48FE-B706-CC30A1575F9C}" xr6:coauthVersionLast="47" xr6:coauthVersionMax="47" xr10:uidLastSave="{00000000-0000-0000-0000-000000000000}"/>
  <bookViews>
    <workbookView xWindow="-120" yWindow="-120" windowWidth="20730" windowHeight="1104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K27" i="1"/>
  <c r="M19" i="1"/>
  <c r="L19" i="1"/>
  <c r="K19" i="1"/>
  <c r="M11" i="1"/>
  <c r="L11" i="1"/>
  <c r="K11" i="1"/>
</calcChain>
</file>

<file path=xl/sharedStrings.xml><?xml version="1.0" encoding="utf-8"?>
<sst xmlns="http://schemas.openxmlformats.org/spreadsheetml/2006/main" count="79" uniqueCount="75">
  <si>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</si>
  <si>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</si>
  <si>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</si>
  <si>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</si>
  <si>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</si>
  <si>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</si>
  <si>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</si>
  <si>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</si>
  <si>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</si>
  <si>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</si>
  <si>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</si>
  <si>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</si>
  <si>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</si>
  <si>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</si>
  <si>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</si>
  <si>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</si>
  <si>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</si>
  <si>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</si>
  <si>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</si>
  <si>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</si>
  <si>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</si>
  <si>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</si>
  <si>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</si>
  <si>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</si>
  <si>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</si>
  <si>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</si>
  <si>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</si>
  <si>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</si>
  <si>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</si>
  <si>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</si>
  <si>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</si>
  <si>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</si>
  <si>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</si>
  <si>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</si>
  <si>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</si>
  <si>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</si>
  <si>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</si>
  <si>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</si>
  <si>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</si>
  <si>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</si>
  <si>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</si>
  <si>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</si>
  <si>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</si>
  <si>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</si>
  <si>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</si>
  <si>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</si>
  <si>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</si>
  <si>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</si>
  <si>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</si>
  <si>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</si>
  <si>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</si>
  <si>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</si>
  <si>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t>BELÉM</t>
  </si>
  <si>
    <t>KAHLIL VIANNA</t>
  </si>
  <si>
    <t>FDV</t>
  </si>
  <si>
    <t>Trade digital (Tráfego pago)</t>
  </si>
  <si>
    <t>Instagram/Facebook</t>
  </si>
  <si>
    <t>Trade comércio local de Belém PA (Loja a Loja)</t>
  </si>
  <si>
    <t xml:space="preserve">Garantir maior alcance da captação de novos leads </t>
  </si>
  <si>
    <t>Garantir funil de inscritos novos para reta final de ciclo</t>
  </si>
  <si>
    <t>Comércio de Belém PA</t>
  </si>
  <si>
    <t>Trade eventos pontuais (Eventos esportivos de grupos)</t>
  </si>
  <si>
    <t>Garantir visibilidade da marca e captação de leads dos participantes.</t>
  </si>
  <si>
    <t>Corrida da Mulher no Abrigo do Marinheiro Belém PA</t>
  </si>
  <si>
    <r>
      <rPr>
        <b/>
        <sz val="9"/>
        <color rgb="FFFF0000"/>
        <rFont val="Arial"/>
        <family val="2"/>
      </rPr>
      <t>XXX</t>
    </r>
    <r>
      <rPr>
        <b/>
        <sz val="9"/>
        <rFont val="Arial"/>
        <family val="2"/>
      </rPr>
      <t xml:space="preserve"> INSC | 210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theme="1"/>
        <rFont val="Arial"/>
        <family val="2"/>
      </rPr>
      <t>160</t>
    </r>
    <r>
      <rPr>
        <b/>
        <sz val="9"/>
        <rFont val="Arial"/>
        <family val="2"/>
      </rPr>
      <t xml:space="preserve"> ACAD</t>
    </r>
  </si>
  <si>
    <t xml:space="preserve">Trabalho interno de conversão de base classificados com FDV + SM </t>
  </si>
  <si>
    <t>Garantir acionamento de 100% das bases classificados do ciclo atual + ciclos anteriores + tráfego pago + eventos + trade + funil e carrinho para conversão de MFs</t>
  </si>
  <si>
    <t>SalesForce</t>
  </si>
  <si>
    <t>FDV + QG + SM</t>
  </si>
  <si>
    <t>Trabalho interno de conversão de base MF X MA</t>
  </si>
  <si>
    <t>Garantir acionamento de 100% das bases MF X MA</t>
  </si>
  <si>
    <t>Focal SM + FDV</t>
  </si>
  <si>
    <t>Garantir leads novos e conversão de MF</t>
  </si>
  <si>
    <t>Revemar, Brasilt, Mateus, Movix</t>
  </si>
  <si>
    <t>Ações pontuais em empresa FDV reta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</si>
</sst>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topLeftCell="A16" zoomScaleNormal="100" workbookViewId="0">
      <selection activeCell="D25" sqref="D25"/>
    </sheetView>
  </sheetViews>
  <sheetFormatPr defaultColWidth="9.28515625" defaultRowHeight="14.25" outlineLevelRow="1" x14ac:dyDescent="0.2"/>
  <cols>
    <col min="1" max="1" width="1.42578125" style="2" customWidth="1"/>
    <col min="2" max="2" width="11.28515625" style="48" bestFit="1" customWidth="1"/>
    <col min="3" max="3" width="55" style="49" customWidth="1"/>
    <col min="4" max="4" width="48.5703125" style="49" customWidth="1"/>
    <col min="5" max="5" width="20.7109375" style="49" bestFit="1" customWidth="1"/>
    <col min="6" max="6" width="16.42578125" style="49" customWidth="1"/>
    <col min="7" max="10" width="10.42578125" style="49" customWidth="1"/>
    <col min="11" max="11" width="13.5703125" style="50" bestFit="1" customWidth="1"/>
    <col min="12" max="12" width="12.28515625" style="51" bestFit="1" customWidth="1"/>
    <col min="13" max="13" width="13.7109375" style="51" customWidth="1"/>
    <col min="14" max="14" width="7.28515625" style="49" bestFit="1" customWidth="1"/>
    <col min="15" max="15" width="55" style="49" customWidth="1"/>
    <col min="16" max="16384" width="9.28515625" style="2"/>
  </cols>
  <sheetData>
    <row r="1" spans="2:15" ht="7.5" customHeight="1" thickBot="1" x14ac:dyDescent="0.25"/>
    <row r="2" spans="2:15" ht="8.65" customHeight="1" x14ac:dyDescent="0.2">
      <c r="B2" s="68" t="s">
        <v>0</v>
      </c>
      <c r="C2" s="71" t="s">
        <v>52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.75" customHeight="1" thickBot="1" x14ac:dyDescent="0.25">
      <c r="B3" s="69"/>
      <c r="C3" s="72"/>
      <c r="D3" s="19"/>
      <c r="I3" s="57"/>
      <c r="J3" s="64"/>
      <c r="K3" s="64"/>
      <c r="L3" s="58"/>
      <c r="M3" s="18" t="s">
        <v>1</v>
      </c>
      <c r="N3" s="17">
        <v>1</v>
      </c>
    </row>
    <row r="4" spans="2:15" ht="15.75" x14ac:dyDescent="0.2">
      <c r="B4" s="68" t="s">
        <v>3</v>
      </c>
      <c r="C4" s="73" t="s">
        <v>53</v>
      </c>
      <c r="D4" s="19"/>
      <c r="I4" s="57"/>
      <c r="J4" s="65"/>
      <c r="K4" s="65"/>
      <c r="L4" s="16"/>
      <c r="M4" s="18" t="s">
        <v>2</v>
      </c>
      <c r="N4" s="17">
        <v>2</v>
      </c>
    </row>
    <row r="5" spans="2:15" ht="15.75" thickBot="1" x14ac:dyDescent="0.25">
      <c r="B5" s="69"/>
      <c r="C5" s="74"/>
      <c r="D5" s="52"/>
      <c r="I5" s="59"/>
      <c r="J5" s="54"/>
      <c r="K5" s="55"/>
      <c r="L5" s="56"/>
      <c r="M5" s="18" t="s">
        <v>4</v>
      </c>
      <c r="N5" s="17">
        <v>3</v>
      </c>
    </row>
    <row r="6" spans="2:15" ht="15.75" customHeight="1" x14ac:dyDescent="0.2">
      <c r="B6" s="70" t="s">
        <v>6</v>
      </c>
      <c r="C6" s="75" t="s">
        <v>64</v>
      </c>
      <c r="D6" s="19"/>
      <c r="I6" s="57"/>
      <c r="J6" s="3"/>
      <c r="K6" s="60"/>
      <c r="L6" s="61"/>
      <c r="M6" s="18" t="s">
        <v>5</v>
      </c>
      <c r="N6" s="17">
        <v>4</v>
      </c>
    </row>
    <row r="7" spans="2:15" ht="15" thickBot="1" x14ac:dyDescent="0.25">
      <c r="B7" s="69"/>
      <c r="C7" s="76"/>
      <c r="D7" s="19"/>
      <c r="I7" s="57"/>
      <c r="J7" s="3"/>
      <c r="K7" s="60"/>
      <c r="L7" s="61"/>
      <c r="M7" s="18" t="s">
        <v>7</v>
      </c>
      <c r="N7" s="17">
        <v>5</v>
      </c>
    </row>
    <row r="8" spans="2:15" ht="8.65" customHeight="1" x14ac:dyDescent="0.2">
      <c r="B8" s="3"/>
      <c r="C8" s="19"/>
      <c r="D8" s="3"/>
      <c r="E8" s="4"/>
      <c r="F8" s="5"/>
      <c r="G8" s="5"/>
      <c r="H8" s="5"/>
      <c r="I8" s="5"/>
      <c r="J8" s="3"/>
      <c r="K8" s="60"/>
      <c r="L8" s="61"/>
      <c r="M8" s="61"/>
      <c r="N8" s="3"/>
      <c r="O8" s="3"/>
    </row>
    <row r="9" spans="2:15" s="6" customFormat="1" ht="32.1" hidden="1" customHeight="1" x14ac:dyDescent="0.2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66" t="s">
        <v>12</v>
      </c>
      <c r="J9" s="66"/>
      <c r="K9" s="13" t="s">
        <v>13</v>
      </c>
      <c r="L9" s="67" t="s">
        <v>14</v>
      </c>
      <c r="M9" s="67"/>
      <c r="N9" s="62"/>
      <c r="O9" s="63"/>
    </row>
    <row r="10" spans="2:15" s="7" customFormat="1" ht="33.75" customHeight="1" x14ac:dyDescent="0.2">
      <c r="B10" s="26" t="s">
        <v>51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3" t="s">
        <v>25</v>
      </c>
      <c r="N10" s="47" t="s">
        <v>26</v>
      </c>
      <c r="O10" s="44" t="s">
        <v>27</v>
      </c>
    </row>
    <row r="11" spans="2:15" s="7" customFormat="1" ht="29.25" customHeight="1" x14ac:dyDescent="0.2">
      <c r="B11" s="30">
        <v>1</v>
      </c>
      <c r="C11" s="20" t="s">
        <v>28</v>
      </c>
      <c r="D11" s="25"/>
      <c r="E11" s="25"/>
      <c r="F11" s="31"/>
      <c r="G11" s="31"/>
      <c r="H11" s="31"/>
      <c r="I11" s="21"/>
      <c r="J11" s="21"/>
      <c r="K11" s="22">
        <f>SUM(K12:K18)</f>
        <v>0</v>
      </c>
      <c r="L11" s="32">
        <f>SUM(L12:L18)</f>
        <v>0</v>
      </c>
      <c r="M11" s="23">
        <f>SUM(M12:M18)</f>
        <v>0</v>
      </c>
      <c r="N11" s="24">
        <v>1</v>
      </c>
      <c r="O11" s="45"/>
    </row>
    <row r="12" spans="2:15" s="7" customFormat="1" ht="23.25" customHeight="1" outlineLevel="1" x14ac:dyDescent="0.2">
      <c r="B12" s="33" t="s">
        <v>29</v>
      </c>
      <c r="C12" s="15"/>
      <c r="D12" s="15"/>
      <c r="E12" s="34"/>
      <c r="F12" s="35"/>
      <c r="G12" s="36"/>
      <c r="H12" s="36"/>
      <c r="I12" s="8"/>
      <c r="J12" s="8"/>
      <c r="K12" s="14"/>
      <c r="L12" s="37"/>
      <c r="M12" s="9"/>
      <c r="N12" s="10">
        <v>1</v>
      </c>
      <c r="O12" s="46"/>
    </row>
    <row r="13" spans="2:15" s="7" customFormat="1" ht="12.75" customHeight="1" outlineLevel="1" x14ac:dyDescent="0.2">
      <c r="B13" s="38" t="s">
        <v>30</v>
      </c>
      <c r="C13" s="11"/>
      <c r="D13" s="15"/>
      <c r="E13" s="34"/>
      <c r="F13" s="39"/>
      <c r="G13" s="36"/>
      <c r="H13" s="36"/>
      <c r="I13" s="8"/>
      <c r="J13" s="8"/>
      <c r="K13" s="14"/>
      <c r="L13" s="40"/>
      <c r="M13" s="12"/>
      <c r="N13" s="10">
        <v>1</v>
      </c>
      <c r="O13" s="46"/>
    </row>
    <row r="14" spans="2:15" s="7" customFormat="1" ht="12.75" customHeight="1" outlineLevel="1" x14ac:dyDescent="0.2">
      <c r="B14" s="38" t="s">
        <v>31</v>
      </c>
      <c r="C14" s="11"/>
      <c r="D14" s="15"/>
      <c r="E14" s="34"/>
      <c r="F14" s="39"/>
      <c r="G14" s="36"/>
      <c r="H14" s="36"/>
      <c r="I14" s="8"/>
      <c r="J14" s="8"/>
      <c r="K14" s="14"/>
      <c r="L14" s="40"/>
      <c r="M14" s="12"/>
      <c r="N14" s="10">
        <v>1</v>
      </c>
      <c r="O14" s="46"/>
    </row>
    <row r="15" spans="2:15" s="7" customFormat="1" ht="12.75" customHeight="1" outlineLevel="1" x14ac:dyDescent="0.2">
      <c r="B15" s="38" t="s">
        <v>32</v>
      </c>
      <c r="C15" s="11"/>
      <c r="D15" s="15"/>
      <c r="E15" s="34"/>
      <c r="F15" s="39"/>
      <c r="G15" s="36"/>
      <c r="H15" s="36"/>
      <c r="I15" s="8"/>
      <c r="J15" s="8"/>
      <c r="K15" s="14"/>
      <c r="L15" s="40"/>
      <c r="M15" s="12"/>
      <c r="N15" s="10">
        <v>1</v>
      </c>
      <c r="O15" s="46"/>
    </row>
    <row r="16" spans="2:15" s="7" customFormat="1" ht="12.75" customHeight="1" outlineLevel="1" x14ac:dyDescent="0.2">
      <c r="B16" s="38" t="s">
        <v>33</v>
      </c>
      <c r="C16" s="11"/>
      <c r="D16" s="15"/>
      <c r="E16" s="34"/>
      <c r="F16" s="39"/>
      <c r="G16" s="36"/>
      <c r="H16" s="36"/>
      <c r="I16" s="8"/>
      <c r="J16" s="8"/>
      <c r="K16" s="14"/>
      <c r="L16" s="40"/>
      <c r="M16" s="12"/>
      <c r="N16" s="10">
        <v>1</v>
      </c>
      <c r="O16" s="46"/>
    </row>
    <row r="17" spans="2:15" s="7" customFormat="1" ht="12.75" customHeight="1" outlineLevel="1" x14ac:dyDescent="0.2">
      <c r="B17" s="38" t="s">
        <v>34</v>
      </c>
      <c r="C17" s="11"/>
      <c r="D17" s="15"/>
      <c r="E17" s="34"/>
      <c r="F17" s="39"/>
      <c r="G17" s="36"/>
      <c r="H17" s="36"/>
      <c r="I17" s="8"/>
      <c r="J17" s="8"/>
      <c r="K17" s="14"/>
      <c r="L17" s="40"/>
      <c r="M17" s="12"/>
      <c r="N17" s="10">
        <v>1</v>
      </c>
      <c r="O17" s="46"/>
    </row>
    <row r="18" spans="2:15" s="7" customFormat="1" ht="12.75" customHeight="1" outlineLevel="1" x14ac:dyDescent="0.2">
      <c r="B18" s="38" t="s">
        <v>35</v>
      </c>
      <c r="C18" s="11"/>
      <c r="D18" s="11"/>
      <c r="E18" s="11"/>
      <c r="F18" s="39"/>
      <c r="G18" s="39"/>
      <c r="H18" s="39"/>
      <c r="I18" s="8"/>
      <c r="J18" s="8"/>
      <c r="K18" s="14"/>
      <c r="L18" s="40"/>
      <c r="M18" s="12"/>
      <c r="N18" s="10">
        <v>1</v>
      </c>
      <c r="O18" s="46"/>
    </row>
    <row r="19" spans="2:15" s="7" customFormat="1" ht="25.15" customHeight="1" x14ac:dyDescent="0.2">
      <c r="B19" s="30">
        <v>2</v>
      </c>
      <c r="C19" s="20" t="s">
        <v>36</v>
      </c>
      <c r="D19" s="25"/>
      <c r="E19" s="25"/>
      <c r="F19" s="31"/>
      <c r="G19" s="31"/>
      <c r="H19" s="31"/>
      <c r="I19" s="21"/>
      <c r="J19" s="21"/>
      <c r="K19" s="22">
        <f>SUM(K20:K26)</f>
        <v>0</v>
      </c>
      <c r="L19" s="32">
        <f>SUM(L20:L26)</f>
        <v>15</v>
      </c>
      <c r="M19" s="23">
        <f>SUM(M20:M26)</f>
        <v>0</v>
      </c>
      <c r="N19" s="24">
        <v>1</v>
      </c>
      <c r="O19" s="45"/>
    </row>
    <row r="20" spans="2:15" s="7" customFormat="1" ht="12.75" customHeight="1" outlineLevel="1" x14ac:dyDescent="0.2">
      <c r="B20" s="38" t="s">
        <v>37</v>
      </c>
      <c r="C20" s="15" t="s">
        <v>74</v>
      </c>
      <c r="D20" s="11" t="s">
        <v>72</v>
      </c>
      <c r="E20" s="41" t="s">
        <v>73</v>
      </c>
      <c r="F20" s="35" t="s">
        <v>54</v>
      </c>
      <c r="G20" s="36">
        <v>46111</v>
      </c>
      <c r="H20" s="36">
        <v>46129</v>
      </c>
      <c r="I20" s="36">
        <v>46111</v>
      </c>
      <c r="J20" s="8"/>
      <c r="K20" s="14">
        <v>0</v>
      </c>
      <c r="L20" s="40">
        <v>15</v>
      </c>
      <c r="M20" s="12"/>
      <c r="N20" s="10">
        <v>4</v>
      </c>
      <c r="O20" s="46"/>
    </row>
    <row r="21" spans="2:15" s="7" customFormat="1" ht="12.75" customHeight="1" outlineLevel="1" x14ac:dyDescent="0.2">
      <c r="B21" s="38" t="s">
        <v>38</v>
      </c>
      <c r="C21" s="11"/>
      <c r="D21" s="11"/>
      <c r="E21" s="41"/>
      <c r="F21" s="35"/>
      <c r="G21" s="36"/>
      <c r="H21" s="36"/>
      <c r="I21" s="8"/>
      <c r="J21" s="8"/>
      <c r="K21" s="14"/>
      <c r="L21" s="40"/>
      <c r="M21" s="12"/>
      <c r="N21" s="10"/>
      <c r="O21" s="46"/>
    </row>
    <row r="22" spans="2:15" s="7" customFormat="1" ht="12.75" customHeight="1" outlineLevel="1" x14ac:dyDescent="0.2">
      <c r="B22" s="38" t="s">
        <v>39</v>
      </c>
      <c r="C22" s="11"/>
      <c r="D22" s="11"/>
      <c r="E22" s="41"/>
      <c r="F22" s="35"/>
      <c r="G22" s="36"/>
      <c r="H22" s="36"/>
      <c r="I22" s="8"/>
      <c r="J22" s="8"/>
      <c r="K22" s="14"/>
      <c r="L22" s="40"/>
      <c r="M22" s="12"/>
      <c r="N22" s="10"/>
      <c r="O22" s="46"/>
    </row>
    <row r="23" spans="2:15" s="7" customFormat="1" ht="12.75" customHeight="1" outlineLevel="1" x14ac:dyDescent="0.2">
      <c r="B23" s="38" t="s">
        <v>40</v>
      </c>
      <c r="C23" s="11"/>
      <c r="D23" s="11"/>
      <c r="E23" s="41"/>
      <c r="F23" s="35"/>
      <c r="G23" s="36"/>
      <c r="H23" s="36"/>
      <c r="I23" s="8"/>
      <c r="J23" s="8"/>
      <c r="K23" s="14"/>
      <c r="L23" s="40"/>
      <c r="M23" s="12"/>
      <c r="N23" s="10"/>
      <c r="O23" s="46"/>
    </row>
    <row r="24" spans="2:15" s="7" customFormat="1" ht="12.75" customHeight="1" outlineLevel="1" x14ac:dyDescent="0.2">
      <c r="B24" s="38" t="s">
        <v>41</v>
      </c>
      <c r="C24" s="11"/>
      <c r="D24" s="11"/>
      <c r="E24" s="41"/>
      <c r="F24" s="35"/>
      <c r="G24" s="36"/>
      <c r="H24" s="36"/>
      <c r="I24" s="8"/>
      <c r="J24" s="8"/>
      <c r="K24" s="14"/>
      <c r="L24" s="40"/>
      <c r="M24" s="12"/>
      <c r="N24" s="10"/>
      <c r="O24" s="46"/>
    </row>
    <row r="25" spans="2:15" s="7" customFormat="1" ht="12.75" customHeight="1" outlineLevel="1" x14ac:dyDescent="0.2">
      <c r="B25" s="38" t="s">
        <v>42</v>
      </c>
      <c r="C25" s="11"/>
      <c r="D25" s="11"/>
      <c r="E25" s="41"/>
      <c r="F25" s="35"/>
      <c r="G25" s="36"/>
      <c r="H25" s="36"/>
      <c r="I25" s="8"/>
      <c r="J25" s="8"/>
      <c r="K25" s="14"/>
      <c r="L25" s="40"/>
      <c r="M25" s="12"/>
      <c r="N25" s="10"/>
      <c r="O25" s="46"/>
    </row>
    <row r="26" spans="2:15" s="7" customFormat="1" ht="12.75" customHeight="1" outlineLevel="1" x14ac:dyDescent="0.2">
      <c r="B26" s="38" t="s">
        <v>43</v>
      </c>
      <c r="C26" s="11"/>
      <c r="D26" s="11"/>
      <c r="E26" s="41"/>
      <c r="F26" s="35"/>
      <c r="G26" s="39"/>
      <c r="H26" s="39"/>
      <c r="I26" s="8"/>
      <c r="J26" s="8"/>
      <c r="K26" s="14"/>
      <c r="L26" s="40"/>
      <c r="M26" s="12"/>
      <c r="N26" s="10"/>
      <c r="O26" s="46"/>
    </row>
    <row r="27" spans="2:15" s="7" customFormat="1" ht="25.15" customHeight="1" x14ac:dyDescent="0.2">
      <c r="B27" s="30">
        <v>3</v>
      </c>
      <c r="C27" s="20" t="s">
        <v>44</v>
      </c>
      <c r="D27" s="25"/>
      <c r="E27" s="25"/>
      <c r="F27" s="31"/>
      <c r="G27" s="31"/>
      <c r="H27" s="31"/>
      <c r="I27" s="21"/>
      <c r="J27" s="21"/>
      <c r="K27" s="22">
        <f>SUM(K28:K34)</f>
        <v>3100</v>
      </c>
      <c r="L27" s="32">
        <f>SUM(L28:L34)</f>
        <v>560</v>
      </c>
      <c r="M27" s="23">
        <f>SUM(M28:M34)</f>
        <v>0</v>
      </c>
      <c r="N27" s="24">
        <v>1</v>
      </c>
      <c r="O27" s="45"/>
    </row>
    <row r="28" spans="2:15" s="7" customFormat="1" ht="12.75" customHeight="1" outlineLevel="1" x14ac:dyDescent="0.2">
      <c r="B28" s="38" t="s">
        <v>45</v>
      </c>
      <c r="C28" s="11" t="s">
        <v>55</v>
      </c>
      <c r="D28" s="11" t="s">
        <v>58</v>
      </c>
      <c r="E28" s="41" t="s">
        <v>56</v>
      </c>
      <c r="F28" s="39" t="s">
        <v>54</v>
      </c>
      <c r="G28" s="42">
        <v>46108</v>
      </c>
      <c r="H28" s="42">
        <v>46129</v>
      </c>
      <c r="I28" s="42">
        <v>46108</v>
      </c>
      <c r="J28" s="8"/>
      <c r="K28" s="14">
        <v>1500</v>
      </c>
      <c r="L28" s="40">
        <v>100</v>
      </c>
      <c r="M28" s="12"/>
      <c r="N28" s="10">
        <v>4</v>
      </c>
      <c r="O28" s="46"/>
    </row>
    <row r="29" spans="2:15" s="7" customFormat="1" ht="12.75" customHeight="1" outlineLevel="1" x14ac:dyDescent="0.2">
      <c r="B29" s="38" t="s">
        <v>46</v>
      </c>
      <c r="C29" s="11" t="s">
        <v>57</v>
      </c>
      <c r="D29" s="11" t="s">
        <v>59</v>
      </c>
      <c r="E29" s="41" t="s">
        <v>60</v>
      </c>
      <c r="F29" s="39" t="s">
        <v>54</v>
      </c>
      <c r="G29" s="42">
        <v>46111</v>
      </c>
      <c r="H29" s="42">
        <v>46111</v>
      </c>
      <c r="I29" s="42">
        <v>46111</v>
      </c>
      <c r="J29" s="8"/>
      <c r="K29" s="14">
        <v>0</v>
      </c>
      <c r="L29" s="40">
        <v>60</v>
      </c>
      <c r="M29" s="12"/>
      <c r="N29" s="10">
        <v>4</v>
      </c>
      <c r="O29" s="46"/>
    </row>
    <row r="30" spans="2:15" s="7" customFormat="1" ht="12.75" customHeight="1" outlineLevel="1" x14ac:dyDescent="0.2">
      <c r="B30" s="38" t="s">
        <v>47</v>
      </c>
      <c r="C30" s="11" t="s">
        <v>61</v>
      </c>
      <c r="D30" s="11" t="s">
        <v>62</v>
      </c>
      <c r="E30" s="41" t="s">
        <v>63</v>
      </c>
      <c r="F30" s="39" t="s">
        <v>54</v>
      </c>
      <c r="G30" s="42">
        <v>46109</v>
      </c>
      <c r="H30" s="42">
        <v>46109</v>
      </c>
      <c r="I30" s="42">
        <v>46109</v>
      </c>
      <c r="J30" s="8"/>
      <c r="K30" s="14">
        <v>100</v>
      </c>
      <c r="L30" s="40">
        <v>40</v>
      </c>
      <c r="M30" s="12"/>
      <c r="N30" s="10">
        <v>4</v>
      </c>
      <c r="O30" s="46"/>
    </row>
    <row r="31" spans="2:15" s="7" customFormat="1" ht="12.75" customHeight="1" outlineLevel="1" x14ac:dyDescent="0.2">
      <c r="B31" s="38" t="s">
        <v>48</v>
      </c>
      <c r="C31" s="11" t="s">
        <v>65</v>
      </c>
      <c r="D31" s="11" t="s">
        <v>66</v>
      </c>
      <c r="E31" s="41" t="s">
        <v>67</v>
      </c>
      <c r="F31" s="39" t="s">
        <v>68</v>
      </c>
      <c r="G31" s="42">
        <v>46108</v>
      </c>
      <c r="H31" s="42">
        <v>46129</v>
      </c>
      <c r="I31" s="42">
        <v>46108</v>
      </c>
      <c r="J31" s="8"/>
      <c r="K31" s="14">
        <v>1500</v>
      </c>
      <c r="L31" s="40">
        <v>200</v>
      </c>
      <c r="M31" s="12"/>
      <c r="N31" s="10">
        <v>4</v>
      </c>
      <c r="O31" s="46"/>
    </row>
    <row r="32" spans="2:15" s="7" customFormat="1" ht="12.75" customHeight="1" outlineLevel="1" x14ac:dyDescent="0.2">
      <c r="B32" s="38" t="s">
        <v>49</v>
      </c>
      <c r="C32" s="11" t="s">
        <v>69</v>
      </c>
      <c r="D32" s="11" t="s">
        <v>70</v>
      </c>
      <c r="E32" s="41" t="s">
        <v>67</v>
      </c>
      <c r="F32" s="39" t="s">
        <v>71</v>
      </c>
      <c r="G32" s="42">
        <v>46108</v>
      </c>
      <c r="H32" s="42">
        <v>42477</v>
      </c>
      <c r="I32" s="42">
        <v>46108</v>
      </c>
      <c r="J32" s="8"/>
      <c r="K32" s="14">
        <v>0</v>
      </c>
      <c r="L32" s="40">
        <v>160</v>
      </c>
      <c r="M32" s="12"/>
      <c r="N32" s="10">
        <v>4</v>
      </c>
      <c r="O32" s="46"/>
    </row>
    <row r="33" spans="2:15" s="7" customFormat="1" ht="12.75" customHeight="1" outlineLevel="1" x14ac:dyDescent="0.2">
      <c r="B33" s="38" t="s">
        <v>50</v>
      </c>
      <c r="C33" s="11"/>
      <c r="D33" s="11"/>
      <c r="E33" s="11"/>
      <c r="F33" s="39"/>
      <c r="G33" s="39"/>
      <c r="H33" s="39"/>
      <c r="I33" s="8"/>
      <c r="J33" s="8"/>
      <c r="K33" s="14"/>
      <c r="L33" s="40"/>
      <c r="M33" s="12"/>
      <c r="N33" s="10"/>
      <c r="O33" s="46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7:M27 K19:M19 L11: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11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N11:N19 N27</xm:sqref>
        </x14:conditionalFormatting>
        <x14:conditionalFormatting xmlns:xm="http://schemas.microsoft.com/office/excel/2006/main">
          <x14:cfRule type="iconSet" priority="2" id="{B46F577D-E68F-432F-A63D-FE78ED49AD41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N28:N33</xm:sqref>
        </x14:conditionalFormatting>
        <x14:conditionalFormatting xmlns:xm="http://schemas.microsoft.com/office/excel/2006/main">
          <x14:cfRule type="iconSet" priority="1" id="{BF870695-EDDB-471C-BB5E-62B34D910E71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N20:N26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customXml/itemProps2.xml><?xml version="1.0" encoding="utf-8"?>
<ds:datastoreItem xmlns:ds="http://schemas.openxmlformats.org/officeDocument/2006/customXml" ds:itemID="{9BFD7491-51A0-4EFE-9825-FD0F9AA39A05}"/>
</file>

<file path=customXml/itemProps3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Marcelo Dias</cp:lastModifiedBy>
  <cp:revision/>
  <dcterms:created xsi:type="dcterms:W3CDTF">2022-06-13T20:59:16Z</dcterms:created>
  <dcterms:modified xsi:type="dcterms:W3CDTF">2026-03-28T12:45:22Z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