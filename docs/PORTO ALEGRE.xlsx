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.lidia\Downloads\"/>
    </mc:Choice>
  </mc:AlternateContent>
  <xr:revisionPtr revIDLastSave="0" documentId="13_ncr:1_{E415187D-3A50-47B2-8139-502F58EF588A}" xr6:coauthVersionLast="47" xr6:coauthVersionMax="47" xr10:uidLastSave="{00000000-0000-0000-0000-000000000000}"/>
  <bookViews>
    <workbookView xWindow="-120" yWindow="-120" windowWidth="20730" windowHeight="11040" tabRatio="308" xr2:uid="{24584874-0217-48DC-83BF-1F72138510EE}"/>
  </bookViews>
  <sheets>
    <sheet name="Plano de Aç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L27" i="1"/>
  <c r="K27" i="1"/>
  <c r="M19" i="1"/>
  <c r="L19" i="1"/>
  <c r="K19" i="1"/>
  <c r="M11" i="1"/>
  <c r="L11" i="1"/>
  <c r="K11" i="1"/>
</calcChain>
</file>

<file path=xl/sharedStrings.xml><?xml version="1.0" encoding="utf-8"?>
<sst xmlns="http://schemas.openxmlformats.org/spreadsheetml/2006/main" count="100" uniqueCount="83">
  <si>
    <t>UNIDADE:</t>
  </si>
  <si>
    <t>Não Iniciada (1)</t>
  </si>
  <si>
    <t>Pendente (2)</t>
  </si>
  <si>
    <t>DIRETOR:</t>
  </si>
  <si>
    <t>Em andamento, com atraso (3)</t>
  </si>
  <si>
    <t>Em andamento (4)</t>
  </si>
  <si>
    <t xml:space="preserve">META: </t>
  </si>
  <si>
    <t>Concluído (5)</t>
  </si>
  <si>
    <t>What ? / How?</t>
  </si>
  <si>
    <t>Why?</t>
  </si>
  <si>
    <t>Where?</t>
  </si>
  <si>
    <t>Who ?</t>
  </si>
  <si>
    <t>When?</t>
  </si>
  <si>
    <t>How Much?</t>
  </si>
  <si>
    <t>RESULTADOS</t>
  </si>
  <si>
    <t>AÇÃO (O QUE) / (COMO)</t>
  </si>
  <si>
    <t>POR QUE</t>
  </si>
  <si>
    <t>ONDE</t>
  </si>
  <si>
    <t>RESPONSÁVEL</t>
  </si>
  <si>
    <t>INÍCIO PREVISTO</t>
  </si>
  <si>
    <t>TÉRMINO PREVISTO</t>
  </si>
  <si>
    <t>INÍCIO REAL</t>
  </si>
  <si>
    <t>TÉRMINO REAL</t>
  </si>
  <si>
    <t>QUANTO (R$)</t>
  </si>
  <si>
    <t>RESULTADO ESPERADO</t>
  </si>
  <si>
    <t>RESULTADO REAL</t>
  </si>
  <si>
    <t>FAROL</t>
  </si>
  <si>
    <t>ACOMPANHAMENTO / OBSERVAÇÕES</t>
  </si>
  <si>
    <t>AÇÕES CANAL - ESCOLAS</t>
  </si>
  <si>
    <t>1.1</t>
  </si>
  <si>
    <t>1.2</t>
  </si>
  <si>
    <t>1.3</t>
  </si>
  <si>
    <t>1.4</t>
  </si>
  <si>
    <t>1.5</t>
  </si>
  <si>
    <t>1.6</t>
  </si>
  <si>
    <t>1.7</t>
  </si>
  <si>
    <t>AÇÕES CANAL - EMPRESAS</t>
  </si>
  <si>
    <t>2.1</t>
  </si>
  <si>
    <t>2.2</t>
  </si>
  <si>
    <t>2.3</t>
  </si>
  <si>
    <t>2.4</t>
  </si>
  <si>
    <t>2.5</t>
  </si>
  <si>
    <t>2.6</t>
  </si>
  <si>
    <t>2.7</t>
  </si>
  <si>
    <t>AÇÕES CANAL - TRADE</t>
  </si>
  <si>
    <t>3.1</t>
  </si>
  <si>
    <t>3.2</t>
  </si>
  <si>
    <t>3.3</t>
  </si>
  <si>
    <t>3.4</t>
  </si>
  <si>
    <t>3.5</t>
  </si>
  <si>
    <t>3.6</t>
  </si>
  <si>
    <t>Nº.</t>
  </si>
  <si>
    <r>
      <rPr>
        <b/>
        <sz val="9"/>
        <color rgb="FFFF0000"/>
        <rFont val="Arial"/>
        <family val="2"/>
      </rPr>
      <t>150</t>
    </r>
    <r>
      <rPr>
        <b/>
        <sz val="9"/>
        <rFont val="Arial"/>
        <family val="2"/>
      </rPr>
      <t xml:space="preserve"> INSC | </t>
    </r>
    <r>
      <rPr>
        <b/>
        <sz val="9"/>
        <color rgb="FFFF0000"/>
        <rFont val="Arial"/>
        <family val="2"/>
      </rPr>
      <t xml:space="preserve">66 </t>
    </r>
    <r>
      <rPr>
        <b/>
        <sz val="9"/>
        <rFont val="Arial"/>
        <family val="2"/>
      </rPr>
      <t>MF |</t>
    </r>
    <r>
      <rPr>
        <b/>
        <sz val="9"/>
        <color rgb="FFFF0000"/>
        <rFont val="Arial"/>
        <family val="2"/>
      </rPr>
      <t xml:space="preserve"> 83</t>
    </r>
    <r>
      <rPr>
        <b/>
        <sz val="9"/>
        <rFont val="Arial"/>
        <family val="2"/>
      </rPr>
      <t xml:space="preserve"> ACAD</t>
    </r>
  </si>
  <si>
    <t>PORTO ALEGRE</t>
  </si>
  <si>
    <t>Diego</t>
  </si>
  <si>
    <t>Ação em parceria com a empresa Qualicorp</t>
  </si>
  <si>
    <t>Ação para firmar parceria,atividade com alta propensaão de captação e conversão de leas</t>
  </si>
  <si>
    <t>UFCSPA</t>
  </si>
  <si>
    <t>FDV</t>
  </si>
  <si>
    <t>INSTAGRAM</t>
  </si>
  <si>
    <t xml:space="preserve">Divulgar campanha dos cursos de Direito e Psicologia no instagram, para aumentar a captação e conversão </t>
  </si>
  <si>
    <t>Converter bases de Psicologia 25.3 e 26.1</t>
  </si>
  <si>
    <t>Aproveitar campanha de 70% de desconto de Psicologia</t>
  </si>
  <si>
    <t>SM</t>
  </si>
  <si>
    <t>ESPERADO 20 MATRÍCULAS DO CURSO</t>
  </si>
  <si>
    <t>Converter bases de Enfermagem 25.3 e 26.1</t>
  </si>
  <si>
    <t>Aproveitar campanha de 70% de desconto de Enfermagem</t>
  </si>
  <si>
    <t>ESPERADO 10 MATRÍCULAS DO CURSO</t>
  </si>
  <si>
    <t>Converter bases de Direito  25.3 e 26.2</t>
  </si>
  <si>
    <t>Usar senso de urgência divulgar últimas vagas.</t>
  </si>
  <si>
    <t>Cléber</t>
  </si>
  <si>
    <t>Pedro</t>
  </si>
  <si>
    <t>Cristina</t>
  </si>
  <si>
    <t>Converter base de documentação pendente</t>
  </si>
  <si>
    <t>Base de 90 classificados com documentação pendente, atuar diariamente na cobrança da documentação.</t>
  </si>
  <si>
    <t>Base de classificados D-1</t>
  </si>
  <si>
    <t>Atuar diariamente nos classificados do dia e do D-1, para converter o mais rápido possível esse interessado</t>
  </si>
  <si>
    <t>Ação virtual empresa</t>
  </si>
  <si>
    <t>Divulgar campanha virtualmente para empresas parceiras</t>
  </si>
  <si>
    <t>ASSEMBLEIA LEGISLATIVA</t>
  </si>
  <si>
    <t>QUALICORP</t>
  </si>
  <si>
    <t>BBMD</t>
  </si>
  <si>
    <t>Tráfego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</si>
</sst>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FF00"/>
      <name val="Arial"/>
      <family val="2"/>
    </font>
    <font>
      <b/>
      <sz val="11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41BB"/>
        <bgColor indexed="64"/>
      </patternFill>
    </fill>
    <fill>
      <patternFill patternType="solid">
        <fgColor rgb="FFB4E028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3" fontId="8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wrapText="1"/>
    </xf>
    <xf numFmtId="0" fontId="10" fillId="0" borderId="0" xfId="0" applyFont="1"/>
    <xf numFmtId="164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2" xfId="1" applyNumberFormat="1" applyFont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44" fontId="3" fillId="0" borderId="1" xfId="3" applyFont="1" applyBorder="1" applyAlignment="1">
      <alignment horizontal="center" vertical="center" wrapText="1"/>
    </xf>
    <xf numFmtId="44" fontId="4" fillId="0" borderId="1" xfId="3" applyFont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left" vertical="center" wrapText="1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0" fontId="2" fillId="4" borderId="1" xfId="2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 applyProtection="1">
      <alignment horizontal="center" vertical="center"/>
      <protection locked="0"/>
    </xf>
    <xf numFmtId="44" fontId="2" fillId="4" borderId="1" xfId="3" applyFont="1" applyFill="1" applyBorder="1" applyAlignment="1" applyProtection="1">
      <alignment horizontal="center" vertical="center"/>
      <protection locked="0"/>
    </xf>
    <xf numFmtId="1" fontId="2" fillId="4" borderId="2" xfId="1" applyNumberFormat="1" applyFont="1" applyFill="1" applyBorder="1" applyAlignment="1" applyProtection="1">
      <alignment horizontal="center" vertical="center"/>
      <protection locked="0"/>
    </xf>
    <xf numFmtId="0" fontId="10" fillId="4" borderId="3" xfId="0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44" fontId="9" fillId="3" borderId="1" xfId="3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 applyProtection="1">
      <alignment horizontal="center" vertical="center" wrapText="1"/>
      <protection locked="0"/>
    </xf>
    <xf numFmtId="1" fontId="2" fillId="4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center" vertical="center"/>
    </xf>
    <xf numFmtId="0" fontId="4" fillId="0" borderId="1" xfId="2" applyBorder="1" applyAlignment="1">
      <alignment horizontal="center" vertical="center" wrapText="1"/>
    </xf>
    <xf numFmtId="0" fontId="4" fillId="0" borderId="1" xfId="2" applyBorder="1" applyAlignment="1" applyProtection="1">
      <alignment horizontal="center" vertical="center" wrapText="1"/>
      <protection locked="0"/>
    </xf>
    <xf numFmtId="14" fontId="4" fillId="0" borderId="1" xfId="2" applyNumberFormat="1" applyBorder="1" applyAlignment="1" applyProtection="1">
      <alignment horizontal="center" vertical="center" wrapText="1"/>
      <protection locked="0"/>
    </xf>
    <xf numFmtId="1" fontId="4" fillId="0" borderId="1" xfId="1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" fontId="9" fillId="3" borderId="2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 applyProtection="1">
      <alignment horizontal="justify" vertical="center" wrapText="1"/>
      <protection locked="0"/>
    </xf>
    <xf numFmtId="0" fontId="4" fillId="0" borderId="8" xfId="0" applyFont="1" applyBorder="1" applyAlignment="1" applyProtection="1">
      <alignment horizontal="justify" vertical="center" wrapText="1"/>
      <protection locked="0"/>
    </xf>
    <xf numFmtId="0" fontId="9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4" fontId="5" fillId="0" borderId="0" xfId="3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4" fontId="3" fillId="0" borderId="0" xfId="3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44" fontId="6" fillId="0" borderId="0" xfId="3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left" vertical="center" wrapText="1" indent="1"/>
    </xf>
    <xf numFmtId="0" fontId="15" fillId="3" borderId="4" xfId="0" applyFont="1" applyFill="1" applyBorder="1" applyAlignment="1">
      <alignment horizontal="left" vertical="center" wrapText="1" indent="1"/>
    </xf>
    <xf numFmtId="0" fontId="15" fillId="3" borderId="5" xfId="0" applyFont="1" applyFill="1" applyBorder="1" applyAlignment="1">
      <alignment horizontal="left" vertical="center" wrapText="1" indent="1"/>
    </xf>
    <xf numFmtId="0" fontId="3" fillId="5" borderId="9" xfId="0" applyFont="1" applyFill="1" applyBorder="1" applyAlignment="1">
      <alignment horizontal="left" vertical="center" indent="1"/>
    </xf>
    <xf numFmtId="0" fontId="3" fillId="5" borderId="4" xfId="0" applyFont="1" applyFill="1" applyBorder="1" applyAlignment="1">
      <alignment horizontal="left" vertical="center" indent="1"/>
    </xf>
    <xf numFmtId="0" fontId="16" fillId="5" borderId="9" xfId="0" applyFont="1" applyFill="1" applyBorder="1" applyAlignment="1">
      <alignment horizontal="left" vertical="center" indent="1"/>
    </xf>
    <xf numFmtId="0" fontId="16" fillId="5" borderId="4" xfId="0" applyFont="1" applyFill="1" applyBorder="1" applyAlignment="1">
      <alignment horizontal="left" vertical="center" indent="1"/>
    </xf>
    <xf numFmtId="0" fontId="7" fillId="5" borderId="5" xfId="0" applyFont="1" applyFill="1" applyBorder="1" applyAlignment="1">
      <alignment horizontal="left" vertical="center" wrapText="1" indent="1"/>
    </xf>
    <xf numFmtId="0" fontId="7" fillId="5" borderId="4" xfId="0" applyFont="1" applyFill="1" applyBorder="1" applyAlignment="1">
      <alignment horizontal="left" vertical="center" wrapText="1" indent="1"/>
    </xf>
    <xf numFmtId="0" fontId="4" fillId="0" borderId="1" xfId="2" applyBorder="1" applyAlignment="1">
      <alignment horizontal="left" vertical="center"/>
    </xf>
    <xf numFmtId="164" fontId="4" fillId="0" borderId="1" xfId="0" applyNumberFormat="1" applyFont="1" applyBorder="1" applyAlignment="1" applyProtection="1">
      <alignment horizontal="center" vertical="center" wrapText="1"/>
      <protection locked="0"/>
    </xf>
    <xf numFmtId="44" fontId="4" fillId="0" borderId="1" xfId="3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 wrapText="1"/>
      <protection locked="0"/>
    </xf>
    <xf numFmtId="1" fontId="4" fillId="0" borderId="2" xfId="0" applyNumberFormat="1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wrapText="1"/>
    </xf>
    <xf numFmtId="0" fontId="10" fillId="0" borderId="1" xfId="0" applyFont="1" applyBorder="1"/>
    <xf numFmtId="0" fontId="0" fillId="0" borderId="1" xfId="0" applyBorder="1" applyAlignment="1">
      <alignment wrapText="1"/>
    </xf>
    <xf numFmtId="0" fontId="10" fillId="0" borderId="1" xfId="0" applyFont="1" applyBorder="1" applyAlignment="1">
      <alignment wrapText="1"/>
    </xf>
  </cellXfs>
  <cellStyles count="4">
    <cellStyle name="Moeda" xfId="3" builtinId="4"/>
    <cellStyle name="Normal" xfId="0" builtinId="0"/>
    <cellStyle name="Normal 2 2" xfId="2" xr:uid="{C6B554DB-9FE0-4D17-AC95-30DF241D9555}"/>
    <cellStyle name="Vírgula" xfId="1" builtinId="3"/>
  </cellStyles>
  <dxfs count="0"/>
  <tableStyles count="0" defaultTableStyle="TableStyleMedium2" defaultPivotStyle="PivotStyleLight16"/>
  <colors>
    <mruColors>
      <color rgb="FFB4E028"/>
      <color rgb="FF1E41BB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4BA2-E995-41D4-9E68-C2DC9985C77D}">
  <dimension ref="B1:O33"/>
  <sheetViews>
    <sheetView showGridLines="0" tabSelected="1" zoomScaleNormal="100" workbookViewId="0">
      <selection activeCell="E28" sqref="E28"/>
    </sheetView>
  </sheetViews>
  <sheetFormatPr defaultColWidth="9.28515625" defaultRowHeight="14.25" outlineLevelRow="1" x14ac:dyDescent="0.2"/>
  <cols>
    <col min="1" max="1" width="1.42578125" style="2" customWidth="1"/>
    <col min="2" max="2" width="11.28515625" style="48" bestFit="1" customWidth="1"/>
    <col min="3" max="3" width="55" style="49" customWidth="1"/>
    <col min="4" max="4" width="50.85546875" style="49" customWidth="1"/>
    <col min="5" max="5" width="13.7109375" style="49" customWidth="1"/>
    <col min="6" max="6" width="16.42578125" style="49" customWidth="1"/>
    <col min="7" max="10" width="10.42578125" style="49" customWidth="1"/>
    <col min="11" max="11" width="13.5703125" style="50" bestFit="1" customWidth="1"/>
    <col min="12" max="12" width="12.28515625" style="51" bestFit="1" customWidth="1"/>
    <col min="13" max="13" width="13.7109375" style="51" customWidth="1"/>
    <col min="14" max="14" width="7.28515625" style="49" bestFit="1" customWidth="1"/>
    <col min="15" max="15" width="55" style="49" customWidth="1"/>
    <col min="16" max="16384" width="9.28515625" style="2"/>
  </cols>
  <sheetData>
    <row r="1" spans="2:15" ht="7.5" customHeight="1" thickBot="1" x14ac:dyDescent="0.25"/>
    <row r="2" spans="2:15" ht="8.65" customHeight="1" x14ac:dyDescent="0.2">
      <c r="B2" s="68" t="s">
        <v>0</v>
      </c>
      <c r="C2" s="71" t="s">
        <v>53</v>
      </c>
      <c r="D2" s="52"/>
      <c r="E2" s="52"/>
      <c r="F2" s="53"/>
      <c r="G2" s="53"/>
      <c r="H2" s="53"/>
      <c r="I2" s="54"/>
      <c r="J2" s="54"/>
      <c r="K2" s="55"/>
      <c r="L2" s="56"/>
      <c r="M2" s="56"/>
      <c r="N2" s="54"/>
      <c r="O2" s="54"/>
    </row>
    <row r="3" spans="2:15" ht="15.75" customHeight="1" thickBot="1" x14ac:dyDescent="0.25">
      <c r="B3" s="69"/>
      <c r="C3" s="72"/>
      <c r="D3" s="19"/>
      <c r="I3" s="57"/>
      <c r="J3" s="64"/>
      <c r="K3" s="64"/>
      <c r="L3" s="58"/>
      <c r="M3" s="18" t="s">
        <v>1</v>
      </c>
      <c r="N3" s="17">
        <v>1</v>
      </c>
    </row>
    <row r="4" spans="2:15" ht="15.75" x14ac:dyDescent="0.2">
      <c r="B4" s="68" t="s">
        <v>3</v>
      </c>
      <c r="C4" s="73" t="s">
        <v>54</v>
      </c>
      <c r="D4" s="19"/>
      <c r="I4" s="57"/>
      <c r="J4" s="65"/>
      <c r="K4" s="65"/>
      <c r="L4" s="16"/>
      <c r="M4" s="18" t="s">
        <v>2</v>
      </c>
      <c r="N4" s="17">
        <v>2</v>
      </c>
    </row>
    <row r="5" spans="2:15" ht="15.75" thickBot="1" x14ac:dyDescent="0.25">
      <c r="B5" s="69"/>
      <c r="C5" s="74"/>
      <c r="D5" s="52"/>
      <c r="I5" s="59"/>
      <c r="J5" s="54"/>
      <c r="K5" s="55"/>
      <c r="L5" s="56"/>
      <c r="M5" s="18" t="s">
        <v>4</v>
      </c>
      <c r="N5" s="17">
        <v>3</v>
      </c>
    </row>
    <row r="6" spans="2:15" ht="15.75" customHeight="1" x14ac:dyDescent="0.2">
      <c r="B6" s="70" t="s">
        <v>6</v>
      </c>
      <c r="C6" s="75" t="s">
        <v>52</v>
      </c>
      <c r="D6" s="19"/>
      <c r="I6" s="57"/>
      <c r="J6" s="3"/>
      <c r="K6" s="60"/>
      <c r="L6" s="61"/>
      <c r="M6" s="18" t="s">
        <v>5</v>
      </c>
      <c r="N6" s="17">
        <v>4</v>
      </c>
    </row>
    <row r="7" spans="2:15" ht="15" thickBot="1" x14ac:dyDescent="0.25">
      <c r="B7" s="69"/>
      <c r="C7" s="76"/>
      <c r="D7" s="19"/>
      <c r="I7" s="57"/>
      <c r="J7" s="3"/>
      <c r="K7" s="60"/>
      <c r="L7" s="61"/>
      <c r="M7" s="18" t="s">
        <v>7</v>
      </c>
      <c r="N7" s="17">
        <v>5</v>
      </c>
    </row>
    <row r="8" spans="2:15" ht="8.65" customHeight="1" x14ac:dyDescent="0.2">
      <c r="B8" s="3"/>
      <c r="C8" s="19"/>
      <c r="D8" s="3"/>
      <c r="E8" s="4"/>
      <c r="F8" s="5"/>
      <c r="G8" s="5"/>
      <c r="H8" s="5"/>
      <c r="I8" s="5"/>
      <c r="J8" s="3"/>
      <c r="K8" s="60"/>
      <c r="L8" s="61"/>
      <c r="M8" s="61"/>
      <c r="N8" s="3"/>
      <c r="O8" s="3"/>
    </row>
    <row r="9" spans="2:15" s="6" customFormat="1" ht="32.1" hidden="1" customHeight="1" x14ac:dyDescent="0.2">
      <c r="B9" s="1"/>
      <c r="C9" s="1" t="s">
        <v>8</v>
      </c>
      <c r="D9" s="1" t="s">
        <v>9</v>
      </c>
      <c r="E9" s="1" t="s">
        <v>10</v>
      </c>
      <c r="F9" s="1" t="s">
        <v>11</v>
      </c>
      <c r="G9" s="1"/>
      <c r="H9" s="1"/>
      <c r="I9" s="66" t="s">
        <v>12</v>
      </c>
      <c r="J9" s="66"/>
      <c r="K9" s="13" t="s">
        <v>13</v>
      </c>
      <c r="L9" s="67" t="s">
        <v>14</v>
      </c>
      <c r="M9" s="67"/>
      <c r="N9" s="62"/>
      <c r="O9" s="63"/>
    </row>
    <row r="10" spans="2:15" s="7" customFormat="1" ht="33.75" customHeight="1" x14ac:dyDescent="0.2">
      <c r="B10" s="26" t="s">
        <v>51</v>
      </c>
      <c r="C10" s="27" t="s">
        <v>15</v>
      </c>
      <c r="D10" s="27" t="s">
        <v>16</v>
      </c>
      <c r="E10" s="27" t="s">
        <v>17</v>
      </c>
      <c r="F10" s="27" t="s">
        <v>18</v>
      </c>
      <c r="G10" s="27" t="s">
        <v>19</v>
      </c>
      <c r="H10" s="27" t="s">
        <v>20</v>
      </c>
      <c r="I10" s="27" t="s">
        <v>21</v>
      </c>
      <c r="J10" s="27" t="s">
        <v>22</v>
      </c>
      <c r="K10" s="28" t="s">
        <v>23</v>
      </c>
      <c r="L10" s="29" t="s">
        <v>24</v>
      </c>
      <c r="M10" s="43" t="s">
        <v>25</v>
      </c>
      <c r="N10" s="47" t="s">
        <v>26</v>
      </c>
      <c r="O10" s="44" t="s">
        <v>27</v>
      </c>
    </row>
    <row r="11" spans="2:15" s="7" customFormat="1" ht="29.25" customHeight="1" x14ac:dyDescent="0.2">
      <c r="B11" s="30">
        <v>1</v>
      </c>
      <c r="C11" s="20" t="s">
        <v>28</v>
      </c>
      <c r="D11" s="25"/>
      <c r="E11" s="25"/>
      <c r="F11" s="31"/>
      <c r="G11" s="31"/>
      <c r="H11" s="31"/>
      <c r="I11" s="21"/>
      <c r="J11" s="21"/>
      <c r="K11" s="22">
        <f>SUM(K12:K18)</f>
        <v>0</v>
      </c>
      <c r="L11" s="32">
        <f>SUM(L12:L18)</f>
        <v>60</v>
      </c>
      <c r="M11" s="23">
        <f>SUM(M12:M18)</f>
        <v>0</v>
      </c>
      <c r="N11" s="24">
        <v>1</v>
      </c>
      <c r="O11" s="45"/>
    </row>
    <row r="12" spans="2:15" s="7" customFormat="1" ht="23.25" customHeight="1" outlineLevel="1" x14ac:dyDescent="0.2">
      <c r="B12" s="33" t="s">
        <v>29</v>
      </c>
      <c r="C12" s="15" t="s">
        <v>61</v>
      </c>
      <c r="D12" s="15" t="s">
        <v>62</v>
      </c>
      <c r="E12" s="34" t="s">
        <v>63</v>
      </c>
      <c r="F12" s="35" t="s">
        <v>70</v>
      </c>
      <c r="G12" s="36">
        <v>46111</v>
      </c>
      <c r="H12" s="36">
        <v>46126</v>
      </c>
      <c r="I12" s="8">
        <v>46111</v>
      </c>
      <c r="J12" s="8"/>
      <c r="K12" s="14">
        <v>0</v>
      </c>
      <c r="L12" s="37">
        <v>20</v>
      </c>
      <c r="M12" s="9"/>
      <c r="N12" s="10">
        <v>1</v>
      </c>
      <c r="O12" s="46" t="s">
        <v>64</v>
      </c>
    </row>
    <row r="13" spans="2:15" s="7" customFormat="1" ht="12.75" customHeight="1" outlineLevel="1" x14ac:dyDescent="0.2">
      <c r="B13" s="38" t="s">
        <v>30</v>
      </c>
      <c r="C13" s="15" t="s">
        <v>65</v>
      </c>
      <c r="D13" s="77" t="s">
        <v>66</v>
      </c>
      <c r="E13" s="34" t="s">
        <v>63</v>
      </c>
      <c r="F13" s="35" t="s">
        <v>71</v>
      </c>
      <c r="G13" s="36">
        <v>46111</v>
      </c>
      <c r="H13" s="36">
        <v>46126</v>
      </c>
      <c r="I13" s="8">
        <v>46111</v>
      </c>
      <c r="J13" s="8"/>
      <c r="K13" s="14">
        <v>0</v>
      </c>
      <c r="L13" s="40">
        <v>10</v>
      </c>
      <c r="M13" s="12"/>
      <c r="N13" s="10">
        <v>1</v>
      </c>
      <c r="O13" s="46" t="s">
        <v>67</v>
      </c>
    </row>
    <row r="14" spans="2:15" s="7" customFormat="1" ht="12.75" customHeight="1" outlineLevel="1" x14ac:dyDescent="0.2">
      <c r="B14" s="38" t="s">
        <v>31</v>
      </c>
      <c r="C14" s="15" t="s">
        <v>68</v>
      </c>
      <c r="D14" s="15" t="s">
        <v>69</v>
      </c>
      <c r="E14" s="34" t="s">
        <v>63</v>
      </c>
      <c r="F14" s="39" t="s">
        <v>72</v>
      </c>
      <c r="G14" s="36">
        <v>46111</v>
      </c>
      <c r="H14" s="36">
        <v>46126</v>
      </c>
      <c r="I14" s="8">
        <v>46111</v>
      </c>
      <c r="J14" s="8"/>
      <c r="K14" s="14">
        <v>0</v>
      </c>
      <c r="L14" s="40">
        <v>10</v>
      </c>
      <c r="M14" s="12"/>
      <c r="N14" s="10">
        <v>1</v>
      </c>
      <c r="O14" s="46" t="s">
        <v>67</v>
      </c>
    </row>
    <row r="15" spans="2:15" s="7" customFormat="1" ht="12.75" customHeight="1" outlineLevel="1" x14ac:dyDescent="0.2">
      <c r="B15" s="38" t="s">
        <v>32</v>
      </c>
      <c r="C15" s="15" t="s">
        <v>73</v>
      </c>
      <c r="D15" s="15" t="s">
        <v>74</v>
      </c>
      <c r="E15" s="34" t="s">
        <v>63</v>
      </c>
      <c r="F15" s="39" t="s">
        <v>72</v>
      </c>
      <c r="G15" s="36">
        <v>46111</v>
      </c>
      <c r="H15" s="36">
        <v>46126</v>
      </c>
      <c r="I15" s="8">
        <v>46111</v>
      </c>
      <c r="J15" s="8"/>
      <c r="K15" s="14">
        <v>0</v>
      </c>
      <c r="L15" s="40">
        <v>10</v>
      </c>
      <c r="M15" s="12"/>
      <c r="N15" s="10">
        <v>1</v>
      </c>
      <c r="O15" s="46" t="s">
        <v>67</v>
      </c>
    </row>
    <row r="16" spans="2:15" s="7" customFormat="1" ht="12.75" customHeight="1" outlineLevel="1" x14ac:dyDescent="0.2">
      <c r="B16" s="38" t="s">
        <v>33</v>
      </c>
      <c r="C16" s="11" t="s">
        <v>75</v>
      </c>
      <c r="D16" s="15" t="s">
        <v>76</v>
      </c>
      <c r="E16" s="34" t="s">
        <v>63</v>
      </c>
      <c r="F16" s="39" t="s">
        <v>71</v>
      </c>
      <c r="G16" s="36">
        <v>46111</v>
      </c>
      <c r="H16" s="36">
        <v>46126</v>
      </c>
      <c r="I16" s="8">
        <v>46111</v>
      </c>
      <c r="J16" s="8"/>
      <c r="K16" s="14">
        <v>0</v>
      </c>
      <c r="L16" s="40">
        <v>10</v>
      </c>
      <c r="M16" s="12"/>
      <c r="N16" s="10">
        <v>1</v>
      </c>
      <c r="O16" s="46" t="s">
        <v>67</v>
      </c>
    </row>
    <row r="17" spans="2:15" s="7" customFormat="1" ht="12.75" customHeight="1" outlineLevel="1" x14ac:dyDescent="0.2">
      <c r="B17" s="38" t="s">
        <v>34</v>
      </c>
      <c r="C17" s="11"/>
      <c r="D17" s="15"/>
      <c r="E17" s="34"/>
      <c r="F17" s="39"/>
      <c r="G17" s="36"/>
      <c r="H17" s="36"/>
      <c r="I17" s="8"/>
      <c r="J17" s="8"/>
      <c r="K17" s="14"/>
      <c r="L17" s="40"/>
      <c r="M17" s="12"/>
      <c r="N17" s="10">
        <v>1</v>
      </c>
      <c r="O17" s="46"/>
    </row>
    <row r="18" spans="2:15" s="7" customFormat="1" ht="12.75" customHeight="1" outlineLevel="1" x14ac:dyDescent="0.2">
      <c r="B18" s="38" t="s">
        <v>35</v>
      </c>
      <c r="C18" s="11"/>
      <c r="D18" s="11"/>
      <c r="E18" s="11"/>
      <c r="F18" s="39"/>
      <c r="G18" s="39"/>
      <c r="H18" s="39"/>
      <c r="I18" s="8"/>
      <c r="J18" s="8"/>
      <c r="K18" s="14"/>
      <c r="L18" s="40"/>
      <c r="M18" s="12"/>
      <c r="N18" s="10">
        <v>1</v>
      </c>
      <c r="O18" s="46"/>
    </row>
    <row r="19" spans="2:15" s="7" customFormat="1" ht="25.15" customHeight="1" x14ac:dyDescent="0.2">
      <c r="B19" s="30">
        <v>2</v>
      </c>
      <c r="C19" s="20" t="s">
        <v>36</v>
      </c>
      <c r="D19" s="25"/>
      <c r="E19" s="25"/>
      <c r="F19" s="31"/>
      <c r="G19" s="31"/>
      <c r="H19" s="31"/>
      <c r="I19" s="21"/>
      <c r="J19" s="21"/>
      <c r="K19" s="22">
        <f>SUM(K20:K26)</f>
        <v>0</v>
      </c>
      <c r="L19" s="32">
        <f>SUM(L20:L26)</f>
        <v>16</v>
      </c>
      <c r="M19" s="23">
        <f>SUM(M20:M26)</f>
        <v>0</v>
      </c>
      <c r="N19" s="24">
        <v>1</v>
      </c>
      <c r="O19" s="45"/>
    </row>
    <row r="20" spans="2:15" s="82" customFormat="1" ht="25.5" outlineLevel="1" x14ac:dyDescent="0.25">
      <c r="B20" s="41" t="s">
        <v>37</v>
      </c>
      <c r="C20" s="11" t="s">
        <v>55</v>
      </c>
      <c r="D20" s="11" t="s">
        <v>56</v>
      </c>
      <c r="E20" s="84" t="s">
        <v>57</v>
      </c>
      <c r="F20" s="39" t="s">
        <v>58</v>
      </c>
      <c r="G20" s="36">
        <v>46126</v>
      </c>
      <c r="H20" s="36">
        <v>46126</v>
      </c>
      <c r="I20" s="78"/>
      <c r="J20" s="78"/>
      <c r="K20" s="79"/>
      <c r="L20" s="80">
        <v>10</v>
      </c>
      <c r="M20" s="81"/>
      <c r="N20" s="10">
        <v>1</v>
      </c>
      <c r="O20" s="46"/>
    </row>
    <row r="21" spans="2:15" s="7" customFormat="1" ht="25.5" outlineLevel="1" x14ac:dyDescent="0.2">
      <c r="B21" s="38" t="s">
        <v>38</v>
      </c>
      <c r="C21" s="11" t="s">
        <v>77</v>
      </c>
      <c r="D21" s="83" t="s">
        <v>78</v>
      </c>
      <c r="E21" s="85" t="s">
        <v>79</v>
      </c>
      <c r="F21" s="39" t="s">
        <v>58</v>
      </c>
      <c r="G21" s="36">
        <v>46111</v>
      </c>
      <c r="H21" s="36">
        <v>46126</v>
      </c>
      <c r="I21" s="8">
        <v>46111</v>
      </c>
      <c r="J21" s="8"/>
      <c r="K21" s="14"/>
      <c r="L21" s="40">
        <v>2</v>
      </c>
      <c r="M21" s="12"/>
      <c r="N21" s="10">
        <v>1</v>
      </c>
      <c r="O21" s="46"/>
    </row>
    <row r="22" spans="2:15" s="7" customFormat="1" ht="12.75" customHeight="1" outlineLevel="1" x14ac:dyDescent="0.2">
      <c r="B22" s="38" t="s">
        <v>39</v>
      </c>
      <c r="C22" s="11" t="s">
        <v>77</v>
      </c>
      <c r="D22" s="83" t="s">
        <v>78</v>
      </c>
      <c r="E22" s="41" t="s">
        <v>80</v>
      </c>
      <c r="F22" s="39" t="s">
        <v>58</v>
      </c>
      <c r="G22" s="36">
        <v>46111</v>
      </c>
      <c r="H22" s="36">
        <v>46126</v>
      </c>
      <c r="I22" s="8">
        <v>46111</v>
      </c>
      <c r="J22" s="8"/>
      <c r="K22" s="14"/>
      <c r="L22" s="40">
        <v>2</v>
      </c>
      <c r="M22" s="12"/>
      <c r="N22" s="10">
        <v>1</v>
      </c>
      <c r="O22" s="46"/>
    </row>
    <row r="23" spans="2:15" s="7" customFormat="1" ht="12.75" customHeight="1" outlineLevel="1" x14ac:dyDescent="0.2">
      <c r="B23" s="38" t="s">
        <v>40</v>
      </c>
      <c r="C23" s="11" t="s">
        <v>77</v>
      </c>
      <c r="D23" s="83" t="s">
        <v>78</v>
      </c>
      <c r="E23" s="41" t="s">
        <v>81</v>
      </c>
      <c r="F23" s="39" t="s">
        <v>58</v>
      </c>
      <c r="G23" s="36">
        <v>46111</v>
      </c>
      <c r="H23" s="36">
        <v>46126</v>
      </c>
      <c r="I23" s="8">
        <v>46111</v>
      </c>
      <c r="J23" s="8"/>
      <c r="K23" s="14"/>
      <c r="L23" s="40">
        <v>2</v>
      </c>
      <c r="M23" s="12"/>
      <c r="N23" s="10">
        <v>1</v>
      </c>
      <c r="O23" s="46"/>
    </row>
    <row r="24" spans="2:15" s="7" customFormat="1" ht="12.75" customHeight="1" outlineLevel="1" x14ac:dyDescent="0.2">
      <c r="B24" s="38" t="s">
        <v>41</v>
      </c>
      <c r="C24" s="11"/>
      <c r="D24" s="11"/>
      <c r="E24" s="41"/>
      <c r="F24" s="39"/>
      <c r="G24" s="36"/>
      <c r="H24" s="36"/>
      <c r="I24" s="8"/>
      <c r="J24" s="8"/>
      <c r="K24" s="14"/>
      <c r="L24" s="40"/>
      <c r="M24" s="12"/>
      <c r="N24" s="10">
        <v>1</v>
      </c>
      <c r="O24" s="46"/>
    </row>
    <row r="25" spans="2:15" s="7" customFormat="1" ht="12.75" customHeight="1" outlineLevel="1" x14ac:dyDescent="0.2">
      <c r="B25" s="38" t="s">
        <v>42</v>
      </c>
      <c r="C25" s="11"/>
      <c r="D25" s="11"/>
      <c r="E25" s="41"/>
      <c r="F25" s="39"/>
      <c r="G25" s="36"/>
      <c r="H25" s="36"/>
      <c r="I25" s="8"/>
      <c r="J25" s="8"/>
      <c r="K25" s="14"/>
      <c r="L25" s="40"/>
      <c r="M25" s="12"/>
      <c r="N25" s="10">
        <v>1</v>
      </c>
      <c r="O25" s="46"/>
    </row>
    <row r="26" spans="2:15" s="7" customFormat="1" ht="12.75" customHeight="1" outlineLevel="1" x14ac:dyDescent="0.2">
      <c r="B26" s="38" t="s">
        <v>43</v>
      </c>
      <c r="C26" s="11"/>
      <c r="D26" s="11"/>
      <c r="E26" s="11"/>
      <c r="F26" s="39"/>
      <c r="G26" s="39"/>
      <c r="H26" s="39"/>
      <c r="I26" s="8"/>
      <c r="J26" s="8"/>
      <c r="K26" s="14"/>
      <c r="L26" s="40"/>
      <c r="M26" s="12"/>
      <c r="N26" s="10">
        <v>1</v>
      </c>
      <c r="O26" s="46"/>
    </row>
    <row r="27" spans="2:15" s="7" customFormat="1" ht="25.15" customHeight="1" x14ac:dyDescent="0.2">
      <c r="B27" s="30">
        <v>3</v>
      </c>
      <c r="C27" s="20" t="s">
        <v>44</v>
      </c>
      <c r="D27" s="25"/>
      <c r="E27" s="25"/>
      <c r="F27" s="31"/>
      <c r="G27" s="31"/>
      <c r="H27" s="31"/>
      <c r="I27" s="21"/>
      <c r="J27" s="21"/>
      <c r="K27" s="22">
        <f>SUM(K28:K34)</f>
        <v>1000</v>
      </c>
      <c r="L27" s="32">
        <f>SUM(L28:L34)</f>
        <v>10</v>
      </c>
      <c r="M27" s="23">
        <f>SUM(M28:M34)</f>
        <v>0</v>
      </c>
      <c r="N27" s="24">
        <v>1</v>
      </c>
      <c r="O27" s="45"/>
    </row>
    <row r="28" spans="2:15" s="7" customFormat="1" ht="25.5" outlineLevel="1" x14ac:dyDescent="0.2">
      <c r="B28" s="38" t="s">
        <v>45</v>
      </c>
      <c r="C28" s="11" t="s">
        <v>82</v>
      </c>
      <c r="D28" s="11" t="s">
        <v>60</v>
      </c>
      <c r="E28" s="41" t="s">
        <v>59</v>
      </c>
      <c r="F28" s="39" t="s">
        <v>58</v>
      </c>
      <c r="G28" s="36">
        <v>46111</v>
      </c>
      <c r="H28" s="36">
        <v>46126</v>
      </c>
      <c r="I28" s="8">
        <v>46111</v>
      </c>
      <c r="J28" s="8"/>
      <c r="K28" s="14">
        <v>1000</v>
      </c>
      <c r="L28" s="40">
        <v>10</v>
      </c>
      <c r="M28" s="12"/>
      <c r="N28" s="10">
        <v>1</v>
      </c>
      <c r="O28" s="46"/>
    </row>
    <row r="29" spans="2:15" s="7" customFormat="1" ht="12.75" customHeight="1" outlineLevel="1" x14ac:dyDescent="0.2">
      <c r="B29" s="38" t="s">
        <v>46</v>
      </c>
      <c r="C29" s="11"/>
      <c r="D29" s="11"/>
      <c r="E29" s="41"/>
      <c r="F29" s="39"/>
      <c r="G29" s="42"/>
      <c r="H29" s="42"/>
      <c r="I29" s="8"/>
      <c r="J29" s="8"/>
      <c r="K29" s="14"/>
      <c r="L29" s="40"/>
      <c r="M29" s="12"/>
      <c r="N29" s="10">
        <v>1</v>
      </c>
      <c r="O29" s="46"/>
    </row>
    <row r="30" spans="2:15" s="7" customFormat="1" ht="12.75" customHeight="1" outlineLevel="1" x14ac:dyDescent="0.2">
      <c r="B30" s="38" t="s">
        <v>47</v>
      </c>
      <c r="C30" s="11"/>
      <c r="D30" s="11"/>
      <c r="E30" s="41"/>
      <c r="F30" s="39"/>
      <c r="G30" s="42"/>
      <c r="H30" s="42"/>
      <c r="I30" s="8"/>
      <c r="J30" s="8"/>
      <c r="K30" s="14"/>
      <c r="L30" s="40"/>
      <c r="M30" s="12"/>
      <c r="N30" s="10">
        <v>1</v>
      </c>
      <c r="O30" s="46"/>
    </row>
    <row r="31" spans="2:15" s="7" customFormat="1" ht="12.75" customHeight="1" outlineLevel="1" x14ac:dyDescent="0.2">
      <c r="B31" s="38" t="s">
        <v>48</v>
      </c>
      <c r="C31" s="11"/>
      <c r="D31" s="11"/>
      <c r="E31" s="41"/>
      <c r="F31" s="39"/>
      <c r="G31" s="42"/>
      <c r="H31" s="42"/>
      <c r="I31" s="8"/>
      <c r="J31" s="8"/>
      <c r="K31" s="14"/>
      <c r="L31" s="40"/>
      <c r="M31" s="12"/>
      <c r="N31" s="10">
        <v>1</v>
      </c>
      <c r="O31" s="46"/>
    </row>
    <row r="32" spans="2:15" s="7" customFormat="1" ht="12.75" customHeight="1" outlineLevel="1" x14ac:dyDescent="0.2">
      <c r="B32" s="38" t="s">
        <v>49</v>
      </c>
      <c r="C32" s="11"/>
      <c r="D32" s="11"/>
      <c r="E32" s="41"/>
      <c r="F32" s="39"/>
      <c r="G32" s="42"/>
      <c r="H32" s="42"/>
      <c r="I32" s="8"/>
      <c r="J32" s="8"/>
      <c r="K32" s="14"/>
      <c r="L32" s="40"/>
      <c r="M32" s="12"/>
      <c r="N32" s="10">
        <v>1</v>
      </c>
      <c r="O32" s="46"/>
    </row>
    <row r="33" spans="2:15" s="7" customFormat="1" ht="12.75" customHeight="1" outlineLevel="1" x14ac:dyDescent="0.2">
      <c r="B33" s="38" t="s">
        <v>50</v>
      </c>
      <c r="C33" s="11"/>
      <c r="D33" s="11"/>
      <c r="E33" s="11"/>
      <c r="F33" s="39"/>
      <c r="G33" s="39"/>
      <c r="H33" s="39"/>
      <c r="I33" s="8"/>
      <c r="J33" s="8"/>
      <c r="K33" s="14"/>
      <c r="L33" s="40"/>
      <c r="M33" s="12"/>
      <c r="N33" s="10">
        <v>1</v>
      </c>
      <c r="O33" s="46"/>
    </row>
  </sheetData>
  <mergeCells count="10">
    <mergeCell ref="J3:K3"/>
    <mergeCell ref="J4:K4"/>
    <mergeCell ref="I9:J9"/>
    <mergeCell ref="L9:M9"/>
    <mergeCell ref="B2:B3"/>
    <mergeCell ref="B4:B5"/>
    <mergeCell ref="B6:B7"/>
    <mergeCell ref="C2:C3"/>
    <mergeCell ref="C4:C5"/>
    <mergeCell ref="C6:C7"/>
  </mergeCells>
  <phoneticPr fontId="14" type="noConversion"/>
  <dataValidations count="1">
    <dataValidation type="list" allowBlank="1" showInputMessage="1" showErrorMessage="1" sqref="N11:N33" xr:uid="{8B55589F-3250-4B7B-B37F-103B92AD1214}">
      <formula1>"1,2,3,4,5"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11 K27:M27 K19:M19 L11:M11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4F8389A-565F-4808-A90F-DB4B88F3E102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N3:N7</xm:sqref>
        </x14:conditionalFormatting>
        <x14:conditionalFormatting xmlns:xm="http://schemas.microsoft.com/office/excel/2006/main">
          <x14:cfRule type="iconSet" priority="9" id="{3F6D567C-9EA5-4754-8725-82CDD4F3E020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N11:N33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1B426F44A67F498884B760A2A5CE43" ma:contentTypeVersion="19" ma:contentTypeDescription="Crie um novo documento." ma:contentTypeScope="" ma:versionID="76259005709332810d21a3d596692ef3">
  <xsd:schema xmlns:xsd="http://www.w3.org/2001/XMLSchema" xmlns:xs="http://www.w3.org/2001/XMLSchema" xmlns:p="http://schemas.microsoft.com/office/2006/metadata/properties" xmlns:ns1="http://schemas.microsoft.com/sharepoint/v3" xmlns:ns2="5c4f482a-c85c-479e-bb83-ce7a3d4acf9b" xmlns:ns3="7a923c1c-514b-43b9-8960-ec459a414e5e" targetNamespace="http://schemas.microsoft.com/office/2006/metadata/properties" ma:root="true" ma:fieldsID="dda6fbf55236f067b66404fd51ca9e82" ns1:_="" ns2:_="" ns3:_="">
    <xsd:import namespace="http://schemas.microsoft.com/sharepoint/v3"/>
    <xsd:import namespace="5c4f482a-c85c-479e-bb83-ce7a3d4acf9b"/>
    <xsd:import namespace="7a923c1c-514b-43b9-8960-ec459a414e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f482a-c85c-479e-bb83-ce7a3d4acf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a0cc33bb-f423-4bc4-9547-323bb343d7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23c1c-514b-43b9-8960-ec459a414e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Coluna Global de Taxonomia" ma:hidden="true" ma:list="{f838eb83-db00-436e-9c6c-ba7a418bf6e5}" ma:internalName="TaxCatchAll" ma:showField="CatchAllData" ma:web="7a923c1c-514b-43b9-8960-ec459a414e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923c1c-514b-43b9-8960-ec459a414e5e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5c4f482a-c85c-479e-bb83-ce7a3d4acf9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9F6432-8231-4B11-A614-B5601BC1C2F9}"/>
</file>

<file path=customXml/itemProps2.xml><?xml version="1.0" encoding="utf-8"?>
<ds:datastoreItem xmlns:ds="http://schemas.openxmlformats.org/officeDocument/2006/customXml" ds:itemID="{7B6DB56E-2D49-44C8-9723-74947B72004C}">
  <ds:schemaRefs>
    <ds:schemaRef ds:uri="http://schemas.microsoft.com/office/2006/metadata/properties"/>
    <ds:schemaRef ds:uri="http://schemas.microsoft.com/office/infopath/2007/PartnerControls"/>
    <ds:schemaRef ds:uri="7a923c1c-514b-43b9-8960-ec459a414e5e"/>
    <ds:schemaRef ds:uri="http://schemas.microsoft.com/sharepoint/v3"/>
    <ds:schemaRef ds:uri="5c4f482a-c85c-479e-bb83-ce7a3d4acf9b"/>
  </ds:schemaRefs>
</ds:datastoreItem>
</file>

<file path=customXml/itemProps3.xml><?xml version="1.0" encoding="utf-8"?>
<ds:datastoreItem xmlns:ds="http://schemas.openxmlformats.org/officeDocument/2006/customXml" ds:itemID="{935509B1-2AF3-4F02-9E20-B257A74CD3F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921a7ff-3e78-486d-a8d9-51d17cf22700}" enabled="1" method="Standard" siteId="{29e081cc-983f-4d52-b1d0-103595213b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Lopes Dos Reis</dc:creator>
  <cp:keywords/>
  <dc:description/>
  <cp:lastModifiedBy>Maria Lidia De Campos Duarte</cp:lastModifiedBy>
  <cp:revision/>
  <dcterms:created xsi:type="dcterms:W3CDTF">2022-06-13T20:59:16Z</dcterms:created>
  <dcterms:modified xsi:type="dcterms:W3CDTF">2026-03-31T18:59:41Z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0x010100BA1B426F44A67F498884B760A2A5CE43</vt:lpwstr>
  </property>
  <property fmtid="{D5CDD505-2E9C-101B-9397-08002B2CF9AE}" pid="5" name="MediaServiceImageTags">
    <vt:lpwstr/>
  </property>
</Properties>
</file>