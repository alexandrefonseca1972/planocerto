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du\Downloads\"/>
    </mc:Choice>
  </mc:AlternateContent>
  <xr:revisionPtr revIDLastSave="0" documentId="8_{6FECCA5F-0993-4189-82F7-FF3136D07152}" xr6:coauthVersionLast="47" xr6:coauthVersionMax="47" xr10:uidLastSave="{00000000-0000-0000-0000-000000000000}"/>
  <bookViews>
    <workbookView xWindow="-108" yWindow="-108" windowWidth="23256" windowHeight="12456" tabRatio="308" xr2:uid="{24584874-0217-48DC-83BF-1F72138510EE}"/>
  </bookViews>
  <sheets>
    <sheet name="Plano de Açã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9" i="1" l="1"/>
  <c r="L49" i="1"/>
  <c r="K49" i="1"/>
  <c r="M31" i="1" l="1"/>
  <c r="L31" i="1"/>
  <c r="K31" i="1"/>
  <c r="M23" i="1"/>
  <c r="L23" i="1"/>
  <c r="K23" i="1"/>
  <c r="M11" i="1"/>
  <c r="K11" i="1"/>
</calcChain>
</file>

<file path=xl/sharedStrings.xml><?xml version="1.0" encoding="utf-8"?>
<sst xmlns="http://schemas.openxmlformats.org/spreadsheetml/2006/main" count="144" uniqueCount="108">
  <si>
    <t>UNIDADE:</t>
  </si>
  <si>
    <t>Não Iniciada (1)</t>
  </si>
  <si>
    <t>Pendente (2)</t>
  </si>
  <si>
    <t>DIRETOR:</t>
  </si>
  <si>
    <t>Em andamento, com atraso (3)</t>
  </si>
  <si>
    <t>Em andamento (4)</t>
  </si>
  <si>
    <t xml:space="preserve">META: </t>
  </si>
  <si>
    <t>Concluído (5)</t>
  </si>
  <si>
    <t>What ? / How?</t>
  </si>
  <si>
    <t>Why?</t>
  </si>
  <si>
    <t>Where?</t>
  </si>
  <si>
    <t>Who ?</t>
  </si>
  <si>
    <t>When?</t>
  </si>
  <si>
    <t>How Much?</t>
  </si>
  <si>
    <t>RESULTADOS</t>
  </si>
  <si>
    <t>AÇÃO (O QUE) / (COMO)</t>
  </si>
  <si>
    <t>POR QUE</t>
  </si>
  <si>
    <t>ONDE</t>
  </si>
  <si>
    <t>RESPONSÁVEL</t>
  </si>
  <si>
    <t>INÍCIO PREVISTO</t>
  </si>
  <si>
    <t>TÉRMINO PREVISTO</t>
  </si>
  <si>
    <t>INÍCIO REAL</t>
  </si>
  <si>
    <t>TÉRMINO REAL</t>
  </si>
  <si>
    <t>QUANTO (R$)</t>
  </si>
  <si>
    <t>RESULTADO ESPERADO</t>
  </si>
  <si>
    <t>RESULTADO REAL</t>
  </si>
  <si>
    <t>FAROL</t>
  </si>
  <si>
    <t>ACOMPANHAMENTO / OBSERVAÇÕES</t>
  </si>
  <si>
    <t>AÇÕES CANAL - ESCOLAS</t>
  </si>
  <si>
    <t>1.1</t>
  </si>
  <si>
    <t>1.2</t>
  </si>
  <si>
    <t>1.3</t>
  </si>
  <si>
    <t>1.4</t>
  </si>
  <si>
    <t>1.5</t>
  </si>
  <si>
    <t>1.6</t>
  </si>
  <si>
    <t>1.7</t>
  </si>
  <si>
    <t>AÇÕES CANAL - EMPRESAS</t>
  </si>
  <si>
    <t>2.1</t>
  </si>
  <si>
    <t>2.2</t>
  </si>
  <si>
    <t>2.3</t>
  </si>
  <si>
    <t>2.4</t>
  </si>
  <si>
    <t>2.5</t>
  </si>
  <si>
    <t>2.6</t>
  </si>
  <si>
    <t>2.7</t>
  </si>
  <si>
    <t>AÇÕES CANAL - TRADE</t>
  </si>
  <si>
    <t>3.1</t>
  </si>
  <si>
    <t>3.2</t>
  </si>
  <si>
    <t>3.3</t>
  </si>
  <si>
    <t>3.4</t>
  </si>
  <si>
    <t>3.5</t>
  </si>
  <si>
    <t>3.6</t>
  </si>
  <si>
    <t>Nº.</t>
  </si>
  <si>
    <t>Adriana Assis Macedo</t>
  </si>
  <si>
    <t xml:space="preserve">Rio Branco ( Unimeta) </t>
  </si>
  <si>
    <t>AÇÕES CANAL - SALA DE MATRÍCULA</t>
  </si>
  <si>
    <t>4.1</t>
  </si>
  <si>
    <t>Ação na Empresa JJ Distribuidora.</t>
  </si>
  <si>
    <t>JJ Distribuidora</t>
  </si>
  <si>
    <t>João Guilerme</t>
  </si>
  <si>
    <t>Ação Conversão o Campeonato de Futevolei</t>
  </si>
  <si>
    <t>AABB</t>
  </si>
  <si>
    <t>Gabriel Vieira</t>
  </si>
  <si>
    <t>Ação na Empresa Impetus Engenharia</t>
  </si>
  <si>
    <t>Impetus Engenharia</t>
  </si>
  <si>
    <t xml:space="preserve">Ação na Empresa Ernegisa </t>
  </si>
  <si>
    <t>Energisa</t>
  </si>
  <si>
    <t>IAPEN</t>
  </si>
  <si>
    <t>Lucas</t>
  </si>
  <si>
    <t>3.7</t>
  </si>
  <si>
    <t>3.8</t>
  </si>
  <si>
    <t>3.9</t>
  </si>
  <si>
    <t>3.10</t>
  </si>
  <si>
    <t>3.11</t>
  </si>
  <si>
    <t>3.12</t>
  </si>
  <si>
    <t>3.13</t>
  </si>
  <si>
    <t>Ação Empresa Casa da Sogra</t>
  </si>
  <si>
    <t>Casa da Sogra</t>
  </si>
  <si>
    <t>Jozvania</t>
  </si>
  <si>
    <t>ESTACÃO EXPERIMENTAL</t>
  </si>
  <si>
    <t>AV. NAÇÕES UNIDAS</t>
  </si>
  <si>
    <t>TERMINAL URBANO</t>
  </si>
  <si>
    <t>BAIRRO AVIÁRIO</t>
  </si>
  <si>
    <t>PRAÇA DA REVOLUÇÃO</t>
  </si>
  <si>
    <t>COHAB DO BOSQUE</t>
  </si>
  <si>
    <t>FEIRA DO MERCADO MUNICIPAL</t>
  </si>
  <si>
    <t>FDV</t>
  </si>
  <si>
    <t>Empresa recém conveniada - a ativação será o inicio de um relacionamento e para realização de matrículas na hora.</t>
  </si>
  <si>
    <t>A ação deu retorno sobre o interesse em matrícula, vamos focar na conversão.</t>
  </si>
  <si>
    <t xml:space="preserve">Empresa parceira e com ativações recorrentes. Com foco em conversão e relacionamento </t>
  </si>
  <si>
    <t>Ação IAPEN - Centro de Controle</t>
  </si>
  <si>
    <t>Realizar Ação de TRADE (PAP) no comércio local para a dovulgação de cursos e atributos da unidade.</t>
  </si>
  <si>
    <t>1.8</t>
  </si>
  <si>
    <t>1.9</t>
  </si>
  <si>
    <t>1.10</t>
  </si>
  <si>
    <t>1.11</t>
  </si>
  <si>
    <t>Atuar na base de Escola 26.1 (são 2457 classificados)</t>
  </si>
  <si>
    <t>UNIDADE</t>
  </si>
  <si>
    <t>SM + FDV</t>
  </si>
  <si>
    <t>Atuar na base feira das profissões (81 classificados)</t>
  </si>
  <si>
    <t>Atuar na base Enem (1011 classificados)</t>
  </si>
  <si>
    <t>Grande volume de inscritos e com baixa conversão de MF.</t>
  </si>
  <si>
    <t>Local com grande fluxo de pessoas e com muita possibildiade de trade.</t>
  </si>
  <si>
    <r>
      <rPr>
        <b/>
        <sz val="9"/>
        <color rgb="FFFF0000"/>
        <rFont val="Arial"/>
        <family val="2"/>
      </rPr>
      <t>7.908</t>
    </r>
    <r>
      <rPr>
        <b/>
        <sz val="9"/>
        <rFont val="Arial"/>
        <family val="2"/>
      </rPr>
      <t xml:space="preserve"> INSC | </t>
    </r>
    <r>
      <rPr>
        <b/>
        <sz val="9"/>
        <color rgb="FFFF0000"/>
        <rFont val="Arial"/>
        <family val="2"/>
      </rPr>
      <t xml:space="preserve">1.382 </t>
    </r>
    <r>
      <rPr>
        <b/>
        <sz val="9"/>
        <rFont val="Arial"/>
        <family val="2"/>
      </rPr>
      <t>MF |</t>
    </r>
    <r>
      <rPr>
        <b/>
        <sz val="9"/>
        <color rgb="FFFF0000"/>
        <rFont val="Arial"/>
        <family val="2"/>
      </rPr>
      <t xml:space="preserve"> 1.214 </t>
    </r>
    <r>
      <rPr>
        <b/>
        <sz val="9"/>
        <rFont val="Arial"/>
        <family val="2"/>
      </rPr>
      <t>ACAD</t>
    </r>
  </si>
  <si>
    <t>Acompanhar as matrículas financeiras e matrículas acadêmicas do FIES</t>
  </si>
  <si>
    <t xml:space="preserve">O canal receberá o número de MF e MA que rodarem </t>
  </si>
  <si>
    <t xml:space="preserve">EDUARDO + SECRETARIA </t>
  </si>
  <si>
    <t>Conversão de Funil invertido Março ( 464)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</si>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</sst>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FF00"/>
      <name val="Arial"/>
      <family val="2"/>
    </font>
    <font>
      <b/>
      <sz val="11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E41BB"/>
        <bgColor indexed="64"/>
      </patternFill>
    </fill>
    <fill>
      <patternFill patternType="solid">
        <fgColor rgb="FFB4E028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</cellStyleXfs>
  <cellXfs count="10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3" fontId="8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wrapText="1"/>
    </xf>
    <xf numFmtId="0" fontId="10" fillId="0" borderId="0" xfId="0" applyFont="1"/>
    <xf numFmtId="164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2" xfId="1" applyNumberFormat="1" applyFont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2" xfId="0" applyNumberFormat="1" applyFont="1" applyBorder="1" applyAlignment="1" applyProtection="1">
      <alignment horizontal="center" vertical="center"/>
      <protection locked="0"/>
    </xf>
    <xf numFmtId="44" fontId="3" fillId="0" borderId="1" xfId="3" applyFont="1" applyBorder="1" applyAlignment="1">
      <alignment horizontal="center" vertical="center" wrapText="1"/>
    </xf>
    <xf numFmtId="44" fontId="4" fillId="0" borderId="1" xfId="3" applyFont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left" vertical="center" wrapText="1"/>
    </xf>
    <xf numFmtId="1" fontId="8" fillId="0" borderId="0" xfId="0" applyNumberFormat="1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0" fontId="2" fillId="4" borderId="1" xfId="2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 applyProtection="1">
      <alignment horizontal="center" vertical="center"/>
      <protection locked="0"/>
    </xf>
    <xf numFmtId="44" fontId="2" fillId="4" borderId="1" xfId="3" applyFont="1" applyFill="1" applyBorder="1" applyAlignment="1" applyProtection="1">
      <alignment horizontal="center" vertical="center"/>
      <protection locked="0"/>
    </xf>
    <xf numFmtId="1" fontId="2" fillId="4" borderId="2" xfId="1" applyNumberFormat="1" applyFont="1" applyFill="1" applyBorder="1" applyAlignment="1" applyProtection="1">
      <alignment horizontal="center" vertical="center"/>
      <protection locked="0"/>
    </xf>
    <xf numFmtId="0" fontId="10" fillId="4" borderId="3" xfId="0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44" fontId="9" fillId="3" borderId="1" xfId="3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/>
    </xf>
    <xf numFmtId="0" fontId="2" fillId="4" borderId="1" xfId="2" applyFont="1" applyFill="1" applyBorder="1" applyAlignment="1" applyProtection="1">
      <alignment horizontal="center" vertical="center" wrapText="1"/>
      <protection locked="0"/>
    </xf>
    <xf numFmtId="1" fontId="2" fillId="4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center" vertical="center"/>
    </xf>
    <xf numFmtId="0" fontId="4" fillId="0" borderId="1" xfId="2" applyBorder="1" applyAlignment="1" applyProtection="1">
      <alignment horizontal="center" vertical="center" wrapText="1"/>
      <protection locked="0"/>
    </xf>
    <xf numFmtId="14" fontId="4" fillId="0" borderId="1" xfId="2" applyNumberFormat="1" applyBorder="1" applyAlignment="1" applyProtection="1">
      <alignment horizontal="center" vertical="center" wrapText="1"/>
      <protection locked="0"/>
    </xf>
    <xf numFmtId="1" fontId="4" fillId="0" borderId="1" xfId="1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1" fontId="9" fillId="3" borderId="2" xfId="0" applyNumberFormat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 applyProtection="1">
      <alignment horizontal="justify" vertical="center" wrapText="1"/>
      <protection locked="0"/>
    </xf>
    <xf numFmtId="0" fontId="4" fillId="0" borderId="8" xfId="0" applyFont="1" applyBorder="1" applyAlignment="1" applyProtection="1">
      <alignment horizontal="justify" vertical="center" wrapText="1"/>
      <protection locked="0"/>
    </xf>
    <xf numFmtId="0" fontId="9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4" fontId="5" fillId="0" borderId="0" xfId="3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4" fontId="3" fillId="0" borderId="0" xfId="3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44" fontId="6" fillId="0" borderId="0" xfId="3" applyFont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1" fillId="0" borderId="1" xfId="0" applyFont="1" applyBorder="1"/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 applyProtection="1">
      <alignment horizontal="center" wrapText="1"/>
      <protection locked="0"/>
    </xf>
    <xf numFmtId="164" fontId="4" fillId="0" borderId="1" xfId="0" applyNumberFormat="1" applyFont="1" applyBorder="1" applyAlignment="1" applyProtection="1">
      <alignment horizontal="center"/>
      <protection locked="0"/>
    </xf>
    <xf numFmtId="44" fontId="4" fillId="0" borderId="1" xfId="3" applyFont="1" applyBorder="1" applyAlignment="1" applyProtection="1">
      <alignment horizontal="center"/>
      <protection locked="0"/>
    </xf>
    <xf numFmtId="1" fontId="4" fillId="0" borderId="1" xfId="0" applyNumberFormat="1" applyFont="1" applyBorder="1" applyAlignment="1" applyProtection="1">
      <alignment horizontal="center"/>
      <protection locked="0"/>
    </xf>
    <xf numFmtId="1" fontId="4" fillId="0" borderId="2" xfId="0" applyNumberFormat="1" applyFont="1" applyBorder="1" applyAlignment="1" applyProtection="1">
      <alignment horizontal="center"/>
      <protection locked="0"/>
    </xf>
    <xf numFmtId="0" fontId="10" fillId="2" borderId="3" xfId="0" applyFont="1" applyFill="1" applyBorder="1" applyAlignment="1">
      <alignment horizontal="center" wrapText="1"/>
    </xf>
    <xf numFmtId="0" fontId="4" fillId="0" borderId="8" xfId="0" applyFont="1" applyBorder="1" applyAlignment="1" applyProtection="1">
      <alignment horizontal="justify" wrapText="1"/>
      <protection locked="0"/>
    </xf>
    <xf numFmtId="0" fontId="4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4" fontId="4" fillId="0" borderId="1" xfId="2" applyNumberFormat="1" applyBorder="1" applyAlignment="1" applyProtection="1">
      <alignment horizontal="left" vertical="center" wrapText="1"/>
      <protection locked="0"/>
    </xf>
    <xf numFmtId="164" fontId="4" fillId="0" borderId="1" xfId="0" applyNumberFormat="1" applyFont="1" applyBorder="1" applyAlignment="1" applyProtection="1">
      <alignment horizontal="left" vertical="center"/>
      <protection locked="0"/>
    </xf>
    <xf numFmtId="44" fontId="4" fillId="0" borderId="1" xfId="3" applyFont="1" applyBorder="1" applyAlignment="1" applyProtection="1">
      <alignment horizontal="left" vertical="center"/>
      <protection locked="0"/>
    </xf>
    <xf numFmtId="1" fontId="4" fillId="0" borderId="2" xfId="0" applyNumberFormat="1" applyFont="1" applyBorder="1" applyAlignment="1" applyProtection="1">
      <alignment horizontal="left" vertical="center"/>
      <protection locked="0"/>
    </xf>
    <xf numFmtId="0" fontId="10" fillId="2" borderId="3" xfId="0" applyFont="1" applyFill="1" applyBorder="1" applyAlignment="1">
      <alignment horizontal="left" vertical="center" wrapText="1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10" fillId="2" borderId="0" xfId="0" applyFont="1" applyFill="1"/>
    <xf numFmtId="0" fontId="2" fillId="2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 applyProtection="1">
      <alignment horizontal="center" vertical="center" wrapText="1"/>
      <protection locked="0"/>
    </xf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44" fontId="2" fillId="2" borderId="1" xfId="3" applyFont="1" applyFill="1" applyBorder="1" applyAlignment="1" applyProtection="1">
      <alignment horizontal="center" vertical="center"/>
      <protection locked="0"/>
    </xf>
    <xf numFmtId="1" fontId="2" fillId="2" borderId="1" xfId="1" applyNumberFormat="1" applyFont="1" applyFill="1" applyBorder="1" applyAlignment="1" applyProtection="1">
      <alignment horizontal="center" vertical="center"/>
      <protection locked="0"/>
    </xf>
    <xf numFmtId="1" fontId="2" fillId="2" borderId="2" xfId="1" applyNumberFormat="1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justify" vertical="center" wrapText="1"/>
      <protection locked="0"/>
    </xf>
    <xf numFmtId="0" fontId="4" fillId="2" borderId="1" xfId="2" applyFill="1" applyBorder="1" applyAlignment="1">
      <alignment horizontal="left" vertical="center" wrapText="1"/>
    </xf>
    <xf numFmtId="0" fontId="4" fillId="2" borderId="1" xfId="2" applyFill="1" applyBorder="1" applyAlignment="1">
      <alignment horizontal="center" vertical="center" wrapText="1"/>
    </xf>
    <xf numFmtId="0" fontId="4" fillId="0" borderId="1" xfId="2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left" vertical="center" wrapText="1" indent="1"/>
    </xf>
    <xf numFmtId="0" fontId="15" fillId="3" borderId="4" xfId="0" applyFont="1" applyFill="1" applyBorder="1" applyAlignment="1">
      <alignment horizontal="left" vertical="center" wrapText="1" indent="1"/>
    </xf>
    <xf numFmtId="0" fontId="15" fillId="3" borderId="5" xfId="0" applyFont="1" applyFill="1" applyBorder="1" applyAlignment="1">
      <alignment horizontal="left" vertical="center" wrapText="1" indent="1"/>
    </xf>
    <xf numFmtId="0" fontId="3" fillId="5" borderId="9" xfId="0" applyFont="1" applyFill="1" applyBorder="1" applyAlignment="1">
      <alignment horizontal="left" vertical="center" indent="1"/>
    </xf>
    <xf numFmtId="0" fontId="3" fillId="5" borderId="4" xfId="0" applyFont="1" applyFill="1" applyBorder="1" applyAlignment="1">
      <alignment horizontal="left" vertical="center" indent="1"/>
    </xf>
    <xf numFmtId="0" fontId="16" fillId="5" borderId="9" xfId="0" applyFont="1" applyFill="1" applyBorder="1" applyAlignment="1">
      <alignment horizontal="left" vertical="center" indent="1"/>
    </xf>
    <xf numFmtId="0" fontId="16" fillId="5" borderId="4" xfId="0" applyFont="1" applyFill="1" applyBorder="1" applyAlignment="1">
      <alignment horizontal="left" vertical="center" indent="1"/>
    </xf>
    <xf numFmtId="0" fontId="7" fillId="5" borderId="5" xfId="0" applyFont="1" applyFill="1" applyBorder="1" applyAlignment="1">
      <alignment horizontal="left" vertical="center" wrapText="1" indent="1"/>
    </xf>
    <xf numFmtId="0" fontId="7" fillId="5" borderId="4" xfId="0" applyFont="1" applyFill="1" applyBorder="1" applyAlignment="1">
      <alignment horizontal="left" vertical="center" wrapText="1" indent="1"/>
    </xf>
  </cellXfs>
  <cellStyles count="4">
    <cellStyle name="Moeda" xfId="3" builtinId="4"/>
    <cellStyle name="Normal" xfId="0" builtinId="0"/>
    <cellStyle name="Normal 2 2" xfId="2" xr:uid="{C6B554DB-9FE0-4D17-AC95-30DF241D9555}"/>
    <cellStyle name="Vírgula" xfId="1" builtinId="3"/>
  </cellStyles>
  <dxfs count="0"/>
  <tableStyles count="0" defaultTableStyle="TableStyleMedium2" defaultPivotStyle="PivotStyleLight16"/>
  <colors>
    <mruColors>
      <color rgb="FFB4E028"/>
      <color rgb="FF1E41BB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4BA2-E995-41D4-9E68-C2DC9985C77D}">
  <dimension ref="B1:O55"/>
  <sheetViews>
    <sheetView showGridLines="0" tabSelected="1" topLeftCell="C10" zoomScale="70" zoomScaleNormal="70" workbookViewId="0">
      <selection activeCell="E32" sqref="E32:H38"/>
    </sheetView>
  </sheetViews>
  <sheetFormatPr defaultColWidth="9.33203125" defaultRowHeight="13.8" outlineLevelRow="1" x14ac:dyDescent="0.25"/>
  <cols>
    <col min="1" max="1" width="1.44140625" style="2" customWidth="1"/>
    <col min="2" max="2" width="11.33203125" style="47" bestFit="1" customWidth="1"/>
    <col min="3" max="3" width="97.33203125" style="48" customWidth="1"/>
    <col min="4" max="4" width="76.109375" style="48" customWidth="1"/>
    <col min="5" max="5" width="28.5546875" style="47" customWidth="1"/>
    <col min="6" max="6" width="16.44140625" style="48" customWidth="1"/>
    <col min="7" max="7" width="14.77734375" style="48" customWidth="1"/>
    <col min="8" max="8" width="15.5546875" style="48" customWidth="1"/>
    <col min="9" max="10" width="10.44140625" style="48" customWidth="1"/>
    <col min="11" max="11" width="13.5546875" style="49" bestFit="1" customWidth="1"/>
    <col min="12" max="12" width="12.33203125" style="50" bestFit="1" customWidth="1"/>
    <col min="13" max="13" width="13.6640625" style="50" customWidth="1"/>
    <col min="14" max="14" width="7.33203125" style="48" bestFit="1" customWidth="1"/>
    <col min="15" max="15" width="55" style="48" customWidth="1"/>
    <col min="16" max="16384" width="9.33203125" style="2"/>
  </cols>
  <sheetData>
    <row r="1" spans="2:15" ht="14.4" thickBot="1" x14ac:dyDescent="0.3"/>
    <row r="2" spans="2:15" x14ac:dyDescent="0.25">
      <c r="B2" s="98" t="s">
        <v>0</v>
      </c>
      <c r="C2" s="101" t="s">
        <v>53</v>
      </c>
      <c r="D2" s="51"/>
      <c r="E2" s="52"/>
      <c r="F2" s="52"/>
      <c r="G2" s="52"/>
      <c r="H2" s="52"/>
      <c r="I2" s="53"/>
      <c r="J2" s="53"/>
      <c r="K2" s="54"/>
      <c r="L2" s="55"/>
      <c r="M2" s="55"/>
      <c r="N2" s="53"/>
      <c r="O2" s="53"/>
    </row>
    <row r="3" spans="2:15" ht="14.4" thickBot="1" x14ac:dyDescent="0.3">
      <c r="B3" s="99"/>
      <c r="C3" s="102"/>
      <c r="D3" s="19"/>
      <c r="I3" s="56"/>
      <c r="J3" s="94"/>
      <c r="K3" s="94"/>
      <c r="L3" s="57"/>
      <c r="M3" s="18" t="s">
        <v>1</v>
      </c>
      <c r="N3" s="17">
        <v>1</v>
      </c>
    </row>
    <row r="4" spans="2:15" ht="15.6" x14ac:dyDescent="0.25">
      <c r="B4" s="98" t="s">
        <v>3</v>
      </c>
      <c r="C4" s="103" t="s">
        <v>52</v>
      </c>
      <c r="D4" s="19"/>
      <c r="I4" s="56"/>
      <c r="J4" s="95"/>
      <c r="K4" s="95"/>
      <c r="L4" s="16"/>
      <c r="M4" s="18" t="s">
        <v>2</v>
      </c>
      <c r="N4" s="17">
        <v>2</v>
      </c>
    </row>
    <row r="5" spans="2:15" ht="15" thickBot="1" x14ac:dyDescent="0.3">
      <c r="B5" s="99"/>
      <c r="C5" s="104"/>
      <c r="D5" s="51"/>
      <c r="I5" s="58"/>
      <c r="J5" s="53"/>
      <c r="K5" s="54"/>
      <c r="L5" s="55"/>
      <c r="M5" s="18" t="s">
        <v>4</v>
      </c>
      <c r="N5" s="17">
        <v>3</v>
      </c>
    </row>
    <row r="6" spans="2:15" x14ac:dyDescent="0.25">
      <c r="B6" s="100" t="s">
        <v>6</v>
      </c>
      <c r="C6" s="105" t="s">
        <v>102</v>
      </c>
      <c r="D6" s="19"/>
      <c r="I6" s="56"/>
      <c r="J6" s="3"/>
      <c r="K6" s="59"/>
      <c r="L6" s="60"/>
      <c r="M6" s="18" t="s">
        <v>5</v>
      </c>
      <c r="N6" s="17">
        <v>4</v>
      </c>
    </row>
    <row r="7" spans="2:15" ht="14.4" thickBot="1" x14ac:dyDescent="0.3">
      <c r="B7" s="99"/>
      <c r="C7" s="106"/>
      <c r="D7" s="19"/>
      <c r="I7" s="56"/>
      <c r="J7" s="3"/>
      <c r="K7" s="59"/>
      <c r="L7" s="60"/>
      <c r="M7" s="18" t="s">
        <v>7</v>
      </c>
      <c r="N7" s="17">
        <v>5</v>
      </c>
    </row>
    <row r="8" spans="2:15" ht="15.6" x14ac:dyDescent="0.25">
      <c r="B8" s="3"/>
      <c r="C8" s="19"/>
      <c r="D8" s="3"/>
      <c r="E8" s="4"/>
      <c r="F8" s="5"/>
      <c r="G8" s="5"/>
      <c r="H8" s="5"/>
      <c r="I8" s="5"/>
      <c r="J8" s="3"/>
      <c r="K8" s="59"/>
      <c r="L8" s="60"/>
      <c r="M8" s="60"/>
      <c r="N8" s="3"/>
      <c r="O8" s="3"/>
    </row>
    <row r="9" spans="2:15" s="6" customFormat="1" x14ac:dyDescent="0.25">
      <c r="B9" s="1"/>
      <c r="C9" s="1" t="s">
        <v>8</v>
      </c>
      <c r="D9" s="1" t="s">
        <v>9</v>
      </c>
      <c r="E9" s="1" t="s">
        <v>10</v>
      </c>
      <c r="F9" s="1" t="s">
        <v>11</v>
      </c>
      <c r="G9" s="1"/>
      <c r="H9" s="1"/>
      <c r="I9" s="96" t="s">
        <v>12</v>
      </c>
      <c r="J9" s="96"/>
      <c r="K9" s="13" t="s">
        <v>13</v>
      </c>
      <c r="L9" s="97" t="s">
        <v>14</v>
      </c>
      <c r="M9" s="97"/>
      <c r="N9" s="61"/>
      <c r="O9" s="62"/>
    </row>
    <row r="10" spans="2:15" s="7" customFormat="1" ht="39.6" x14ac:dyDescent="0.25">
      <c r="B10" s="26" t="s">
        <v>51</v>
      </c>
      <c r="C10" s="27" t="s">
        <v>15</v>
      </c>
      <c r="D10" s="27" t="s">
        <v>16</v>
      </c>
      <c r="E10" s="27" t="s">
        <v>17</v>
      </c>
      <c r="F10" s="27" t="s">
        <v>18</v>
      </c>
      <c r="G10" s="27" t="s">
        <v>19</v>
      </c>
      <c r="H10" s="27" t="s">
        <v>20</v>
      </c>
      <c r="I10" s="27" t="s">
        <v>21</v>
      </c>
      <c r="J10" s="27" t="s">
        <v>22</v>
      </c>
      <c r="K10" s="28" t="s">
        <v>23</v>
      </c>
      <c r="L10" s="29" t="s">
        <v>24</v>
      </c>
      <c r="M10" s="42" t="s">
        <v>25</v>
      </c>
      <c r="N10" s="46" t="s">
        <v>26</v>
      </c>
      <c r="O10" s="43" t="s">
        <v>27</v>
      </c>
    </row>
    <row r="11" spans="2:15" s="7" customFormat="1" ht="13.2" x14ac:dyDescent="0.25">
      <c r="B11" s="30">
        <v>1</v>
      </c>
      <c r="C11" s="20" t="s">
        <v>28</v>
      </c>
      <c r="D11" s="25"/>
      <c r="E11" s="25"/>
      <c r="F11" s="31"/>
      <c r="G11" s="31"/>
      <c r="H11" s="31"/>
      <c r="I11" s="21"/>
      <c r="J11" s="21"/>
      <c r="K11" s="22">
        <f>SUM(K16:K22)</f>
        <v>0</v>
      </c>
      <c r="L11" s="32">
        <v>3</v>
      </c>
      <c r="M11" s="23">
        <f>SUM(M16:M22)</f>
        <v>0</v>
      </c>
      <c r="N11" s="24">
        <v>1</v>
      </c>
      <c r="O11" s="44"/>
    </row>
    <row r="12" spans="2:15" s="83" customFormat="1" ht="13.2" x14ac:dyDescent="0.25">
      <c r="B12" s="33" t="s">
        <v>29</v>
      </c>
      <c r="C12" s="91" t="s">
        <v>95</v>
      </c>
      <c r="D12" s="91" t="s">
        <v>100</v>
      </c>
      <c r="E12" s="92" t="s">
        <v>96</v>
      </c>
      <c r="F12" s="92" t="s">
        <v>97</v>
      </c>
      <c r="G12" s="77">
        <v>46140</v>
      </c>
      <c r="H12" s="77">
        <v>46140</v>
      </c>
      <c r="I12" s="86"/>
      <c r="J12" s="86"/>
      <c r="K12" s="87"/>
      <c r="L12" s="88">
        <v>3</v>
      </c>
      <c r="M12" s="89"/>
      <c r="N12" s="10"/>
      <c r="O12" s="90"/>
    </row>
    <row r="13" spans="2:15" s="83" customFormat="1" ht="13.2" x14ac:dyDescent="0.25">
      <c r="B13" s="37" t="s">
        <v>30</v>
      </c>
      <c r="C13" s="91" t="s">
        <v>98</v>
      </c>
      <c r="D13" s="91" t="s">
        <v>100</v>
      </c>
      <c r="E13" s="92" t="s">
        <v>96</v>
      </c>
      <c r="F13" s="92" t="s">
        <v>97</v>
      </c>
      <c r="G13" s="77">
        <v>46140</v>
      </c>
      <c r="H13" s="77">
        <v>46140</v>
      </c>
      <c r="I13" s="86"/>
      <c r="J13" s="86"/>
      <c r="K13" s="87"/>
      <c r="L13" s="88">
        <v>2</v>
      </c>
      <c r="M13" s="89"/>
      <c r="N13" s="10"/>
      <c r="O13" s="90"/>
    </row>
    <row r="14" spans="2:15" s="83" customFormat="1" ht="13.2" x14ac:dyDescent="0.25">
      <c r="B14" s="37" t="s">
        <v>31</v>
      </c>
      <c r="C14" s="91" t="s">
        <v>99</v>
      </c>
      <c r="D14" s="91" t="s">
        <v>100</v>
      </c>
      <c r="E14" s="92" t="s">
        <v>96</v>
      </c>
      <c r="F14" s="92" t="s">
        <v>97</v>
      </c>
      <c r="G14" s="77">
        <v>46140</v>
      </c>
      <c r="H14" s="77">
        <v>46140</v>
      </c>
      <c r="I14" s="86"/>
      <c r="J14" s="86"/>
      <c r="K14" s="87"/>
      <c r="L14" s="88">
        <v>1</v>
      </c>
      <c r="M14" s="89"/>
      <c r="N14" s="10"/>
      <c r="O14" s="90"/>
    </row>
    <row r="15" spans="2:15" s="83" customFormat="1" ht="13.2" x14ac:dyDescent="0.25">
      <c r="B15" s="37" t="s">
        <v>32</v>
      </c>
      <c r="C15" s="91"/>
      <c r="D15" s="84"/>
      <c r="E15" s="92"/>
      <c r="F15" s="85"/>
      <c r="G15" s="85"/>
      <c r="H15" s="85"/>
      <c r="I15" s="86"/>
      <c r="J15" s="86"/>
      <c r="K15" s="87"/>
      <c r="L15" s="88"/>
      <c r="M15" s="89"/>
      <c r="N15" s="10"/>
      <c r="O15" s="90"/>
    </row>
    <row r="16" spans="2:15" s="7" customFormat="1" ht="13.2" outlineLevel="1" x14ac:dyDescent="0.25">
      <c r="B16" s="37" t="s">
        <v>33</v>
      </c>
      <c r="C16" s="91"/>
      <c r="D16" s="15"/>
      <c r="E16" s="93"/>
      <c r="F16" s="34"/>
      <c r="G16" s="35"/>
      <c r="H16" s="35"/>
      <c r="I16" s="8"/>
      <c r="J16" s="8"/>
      <c r="K16" s="14"/>
      <c r="L16" s="36"/>
      <c r="M16" s="9"/>
      <c r="N16" s="10">
        <v>1</v>
      </c>
      <c r="O16" s="45"/>
    </row>
    <row r="17" spans="2:15" s="7" customFormat="1" ht="13.2" hidden="1" outlineLevel="1" x14ac:dyDescent="0.25">
      <c r="B17" s="37" t="s">
        <v>34</v>
      </c>
      <c r="C17" s="91"/>
      <c r="D17" s="15"/>
      <c r="E17" s="40"/>
      <c r="F17" s="38"/>
      <c r="G17" s="35"/>
      <c r="H17" s="35"/>
      <c r="I17" s="8"/>
      <c r="J17" s="8"/>
      <c r="K17" s="14"/>
      <c r="L17" s="39"/>
      <c r="M17" s="12"/>
      <c r="N17" s="10">
        <v>1</v>
      </c>
      <c r="O17" s="45"/>
    </row>
    <row r="18" spans="2:15" s="7" customFormat="1" ht="13.2" hidden="1" outlineLevel="1" x14ac:dyDescent="0.25">
      <c r="B18" s="37" t="s">
        <v>35</v>
      </c>
      <c r="C18" s="91"/>
      <c r="D18" s="15"/>
      <c r="E18" s="40"/>
      <c r="F18" s="38"/>
      <c r="G18" s="35"/>
      <c r="H18" s="35"/>
      <c r="I18" s="8"/>
      <c r="J18" s="8"/>
      <c r="K18" s="14"/>
      <c r="L18" s="39"/>
      <c r="M18" s="12"/>
      <c r="N18" s="10">
        <v>1</v>
      </c>
      <c r="O18" s="45"/>
    </row>
    <row r="19" spans="2:15" s="7" customFormat="1" ht="13.2" hidden="1" outlineLevel="1" x14ac:dyDescent="0.25">
      <c r="B19" s="33" t="s">
        <v>91</v>
      </c>
      <c r="C19" s="91"/>
      <c r="D19" s="15"/>
      <c r="E19" s="40"/>
      <c r="F19" s="38"/>
      <c r="G19" s="35"/>
      <c r="H19" s="35"/>
      <c r="I19" s="8"/>
      <c r="J19" s="8"/>
      <c r="K19" s="14"/>
      <c r="L19" s="39"/>
      <c r="M19" s="12"/>
      <c r="N19" s="10">
        <v>1</v>
      </c>
      <c r="O19" s="45"/>
    </row>
    <row r="20" spans="2:15" s="7" customFormat="1" ht="13.2" hidden="1" outlineLevel="1" x14ac:dyDescent="0.25">
      <c r="B20" s="37" t="s">
        <v>92</v>
      </c>
      <c r="C20" s="91"/>
      <c r="D20" s="15"/>
      <c r="E20" s="40"/>
      <c r="F20" s="38"/>
      <c r="G20" s="35"/>
      <c r="H20" s="35"/>
      <c r="I20" s="8"/>
      <c r="J20" s="8"/>
      <c r="K20" s="14"/>
      <c r="L20" s="39"/>
      <c r="M20" s="12"/>
      <c r="N20" s="10">
        <v>1</v>
      </c>
      <c r="O20" s="45"/>
    </row>
    <row r="21" spans="2:15" s="7" customFormat="1" ht="13.2" hidden="1" outlineLevel="1" x14ac:dyDescent="0.25">
      <c r="B21" s="37" t="s">
        <v>93</v>
      </c>
      <c r="C21" s="91"/>
      <c r="D21" s="15"/>
      <c r="E21" s="40"/>
      <c r="F21" s="38"/>
      <c r="G21" s="35"/>
      <c r="H21" s="35"/>
      <c r="I21" s="8"/>
      <c r="J21" s="8"/>
      <c r="K21" s="14"/>
      <c r="L21" s="39"/>
      <c r="M21" s="12"/>
      <c r="N21" s="10">
        <v>1</v>
      </c>
      <c r="O21" s="45"/>
    </row>
    <row r="22" spans="2:15" s="7" customFormat="1" ht="13.2" hidden="1" outlineLevel="1" x14ac:dyDescent="0.25">
      <c r="B22" s="37" t="s">
        <v>94</v>
      </c>
      <c r="C22" s="91"/>
      <c r="D22" s="11"/>
      <c r="E22" s="40"/>
      <c r="F22" s="38"/>
      <c r="G22" s="38"/>
      <c r="H22" s="38"/>
      <c r="I22" s="8"/>
      <c r="J22" s="8"/>
      <c r="K22" s="14"/>
      <c r="L22" s="39"/>
      <c r="M22" s="12"/>
      <c r="N22" s="10">
        <v>1</v>
      </c>
      <c r="O22" s="45"/>
    </row>
    <row r="23" spans="2:15" s="7" customFormat="1" ht="13.2" x14ac:dyDescent="0.25">
      <c r="B23" s="30">
        <v>2</v>
      </c>
      <c r="C23" s="20" t="s">
        <v>36</v>
      </c>
      <c r="D23" s="25"/>
      <c r="E23" s="25"/>
      <c r="F23" s="31"/>
      <c r="G23" s="31"/>
      <c r="H23" s="31"/>
      <c r="I23" s="21"/>
      <c r="J23" s="21"/>
      <c r="K23" s="22">
        <f>SUM(K24:K30)</f>
        <v>0</v>
      </c>
      <c r="L23" s="32">
        <f>SUM(L24:L30)</f>
        <v>17</v>
      </c>
      <c r="M23" s="23">
        <f>SUM(M24:M30)</f>
        <v>0</v>
      </c>
      <c r="N23" s="24">
        <v>1</v>
      </c>
      <c r="O23" s="44"/>
    </row>
    <row r="24" spans="2:15" s="75" customFormat="1" ht="26.4" outlineLevel="1" x14ac:dyDescent="0.3">
      <c r="B24" s="76" t="s">
        <v>37</v>
      </c>
      <c r="C24" s="11" t="s">
        <v>56</v>
      </c>
      <c r="D24" s="11" t="s">
        <v>86</v>
      </c>
      <c r="E24" s="40" t="s">
        <v>57</v>
      </c>
      <c r="F24" s="38" t="s">
        <v>58</v>
      </c>
      <c r="G24" s="77">
        <v>46118</v>
      </c>
      <c r="H24" s="77">
        <v>46118</v>
      </c>
      <c r="I24" s="78"/>
      <c r="J24" s="78"/>
      <c r="K24" s="79"/>
      <c r="L24" s="39">
        <v>3</v>
      </c>
      <c r="M24" s="80"/>
      <c r="N24" s="81">
        <v>1</v>
      </c>
      <c r="O24" s="82"/>
    </row>
    <row r="25" spans="2:15" s="75" customFormat="1" ht="13.2" outlineLevel="1" x14ac:dyDescent="0.3">
      <c r="B25" s="76" t="s">
        <v>38</v>
      </c>
      <c r="C25" s="11" t="s">
        <v>59</v>
      </c>
      <c r="D25" s="11" t="s">
        <v>87</v>
      </c>
      <c r="E25" s="40" t="s">
        <v>60</v>
      </c>
      <c r="F25" s="38" t="s">
        <v>61</v>
      </c>
      <c r="G25" s="77">
        <v>46101</v>
      </c>
      <c r="H25" s="77">
        <v>46103</v>
      </c>
      <c r="I25" s="78"/>
      <c r="J25" s="78"/>
      <c r="K25" s="79"/>
      <c r="L25" s="39">
        <v>3</v>
      </c>
      <c r="M25" s="80"/>
      <c r="N25" s="81">
        <v>1</v>
      </c>
      <c r="O25" s="82"/>
    </row>
    <row r="26" spans="2:15" s="75" customFormat="1" ht="26.4" outlineLevel="1" x14ac:dyDescent="0.3">
      <c r="B26" s="76" t="s">
        <v>39</v>
      </c>
      <c r="C26" s="11" t="s">
        <v>62</v>
      </c>
      <c r="D26" s="11" t="s">
        <v>88</v>
      </c>
      <c r="E26" s="40" t="s">
        <v>63</v>
      </c>
      <c r="F26" s="38" t="s">
        <v>58</v>
      </c>
      <c r="G26" s="77">
        <v>46116</v>
      </c>
      <c r="H26" s="77">
        <v>46116</v>
      </c>
      <c r="I26" s="78"/>
      <c r="J26" s="78"/>
      <c r="K26" s="79"/>
      <c r="L26" s="39">
        <v>4</v>
      </c>
      <c r="M26" s="80"/>
      <c r="N26" s="81">
        <v>1</v>
      </c>
      <c r="O26" s="82"/>
    </row>
    <row r="27" spans="2:15" s="75" customFormat="1" ht="26.4" outlineLevel="1" x14ac:dyDescent="0.3">
      <c r="B27" s="76" t="s">
        <v>40</v>
      </c>
      <c r="C27" s="11" t="s">
        <v>64</v>
      </c>
      <c r="D27" s="11" t="s">
        <v>88</v>
      </c>
      <c r="E27" s="40" t="s">
        <v>65</v>
      </c>
      <c r="F27" s="38" t="s">
        <v>58</v>
      </c>
      <c r="G27" s="77">
        <v>46120</v>
      </c>
      <c r="H27" s="77">
        <v>46120</v>
      </c>
      <c r="I27" s="78"/>
      <c r="J27" s="78"/>
      <c r="K27" s="79"/>
      <c r="L27" s="39">
        <v>3</v>
      </c>
      <c r="M27" s="80"/>
      <c r="N27" s="81">
        <v>1</v>
      </c>
      <c r="O27" s="82"/>
    </row>
    <row r="28" spans="2:15" s="75" customFormat="1" ht="26.4" outlineLevel="1" x14ac:dyDescent="0.3">
      <c r="B28" s="76" t="s">
        <v>41</v>
      </c>
      <c r="C28" s="11" t="s">
        <v>89</v>
      </c>
      <c r="D28" s="11" t="s">
        <v>86</v>
      </c>
      <c r="E28" s="40" t="s">
        <v>66</v>
      </c>
      <c r="F28" s="38" t="s">
        <v>67</v>
      </c>
      <c r="G28" s="77">
        <v>46113</v>
      </c>
      <c r="H28" s="77">
        <v>46113</v>
      </c>
      <c r="I28" s="78"/>
      <c r="J28" s="78"/>
      <c r="K28" s="79"/>
      <c r="L28" s="39">
        <v>2</v>
      </c>
      <c r="M28" s="80"/>
      <c r="N28" s="81">
        <v>1</v>
      </c>
      <c r="O28" s="82"/>
    </row>
    <row r="29" spans="2:15" s="75" customFormat="1" ht="26.4" outlineLevel="1" x14ac:dyDescent="0.3">
      <c r="B29" s="76" t="s">
        <v>42</v>
      </c>
      <c r="C29" s="11" t="s">
        <v>75</v>
      </c>
      <c r="D29" s="11" t="s">
        <v>88</v>
      </c>
      <c r="E29" s="40" t="s">
        <v>76</v>
      </c>
      <c r="F29" s="38" t="s">
        <v>77</v>
      </c>
      <c r="G29" s="77"/>
      <c r="H29" s="77"/>
      <c r="I29" s="78"/>
      <c r="J29" s="78"/>
      <c r="K29" s="79"/>
      <c r="L29" s="39">
        <v>2</v>
      </c>
      <c r="M29" s="80"/>
      <c r="N29" s="81">
        <v>1</v>
      </c>
      <c r="O29" s="82"/>
    </row>
    <row r="30" spans="2:15" s="7" customFormat="1" ht="13.2" outlineLevel="1" x14ac:dyDescent="0.25">
      <c r="B30" s="65" t="s">
        <v>43</v>
      </c>
      <c r="C30" s="74"/>
      <c r="D30" s="66"/>
      <c r="E30" s="40"/>
      <c r="F30" s="67"/>
      <c r="G30" s="67"/>
      <c r="H30" s="67"/>
      <c r="I30" s="68"/>
      <c r="J30" s="68"/>
      <c r="K30" s="69"/>
      <c r="L30" s="70"/>
      <c r="M30" s="71"/>
      <c r="N30" s="72">
        <v>1</v>
      </c>
      <c r="O30" s="73"/>
    </row>
    <row r="31" spans="2:15" s="7" customFormat="1" ht="13.2" x14ac:dyDescent="0.25">
      <c r="B31" s="30">
        <v>3</v>
      </c>
      <c r="C31" s="20" t="s">
        <v>44</v>
      </c>
      <c r="D31" s="25"/>
      <c r="E31" s="25"/>
      <c r="F31" s="31"/>
      <c r="G31" s="31"/>
      <c r="H31" s="31"/>
      <c r="I31" s="21"/>
      <c r="J31" s="21"/>
      <c r="K31" s="22">
        <f>SUM(K32:K49)</f>
        <v>0</v>
      </c>
      <c r="L31" s="32">
        <f>SUM(L32:L49)</f>
        <v>45</v>
      </c>
      <c r="M31" s="23">
        <f>SUM(M32:M49)</f>
        <v>0</v>
      </c>
      <c r="N31" s="24">
        <v>1</v>
      </c>
      <c r="O31" s="44"/>
    </row>
    <row r="32" spans="2:15" s="7" customFormat="1" outlineLevel="1" x14ac:dyDescent="0.3">
      <c r="B32" s="37" t="s">
        <v>45</v>
      </c>
      <c r="C32" s="63" t="s">
        <v>90</v>
      </c>
      <c r="D32" s="11" t="s">
        <v>101</v>
      </c>
      <c r="E32" s="64" t="s">
        <v>78</v>
      </c>
      <c r="F32" s="38" t="s">
        <v>85</v>
      </c>
      <c r="G32" s="41">
        <v>46113</v>
      </c>
      <c r="H32" s="41">
        <v>46113</v>
      </c>
      <c r="I32" s="8"/>
      <c r="J32" s="8"/>
      <c r="K32" s="14"/>
      <c r="L32" s="39">
        <v>1</v>
      </c>
      <c r="M32" s="12"/>
      <c r="N32" s="10">
        <v>1</v>
      </c>
      <c r="O32" s="45"/>
    </row>
    <row r="33" spans="2:15" s="7" customFormat="1" outlineLevel="1" x14ac:dyDescent="0.3">
      <c r="B33" s="37" t="s">
        <v>46</v>
      </c>
      <c r="C33" s="63" t="s">
        <v>90</v>
      </c>
      <c r="D33" s="11" t="s">
        <v>101</v>
      </c>
      <c r="E33" s="64" t="s">
        <v>79</v>
      </c>
      <c r="F33" s="38" t="s">
        <v>85</v>
      </c>
      <c r="G33" s="41">
        <v>46114</v>
      </c>
      <c r="H33" s="41">
        <v>46114</v>
      </c>
      <c r="I33" s="8"/>
      <c r="J33" s="8"/>
      <c r="K33" s="14"/>
      <c r="L33" s="39">
        <v>1</v>
      </c>
      <c r="M33" s="12"/>
      <c r="N33" s="10"/>
      <c r="O33" s="45"/>
    </row>
    <row r="34" spans="2:15" s="7" customFormat="1" outlineLevel="1" x14ac:dyDescent="0.3">
      <c r="B34" s="37" t="s">
        <v>47</v>
      </c>
      <c r="C34" s="63" t="s">
        <v>90</v>
      </c>
      <c r="D34" s="11" t="s">
        <v>101</v>
      </c>
      <c r="E34" s="64" t="s">
        <v>80</v>
      </c>
      <c r="F34" s="38" t="s">
        <v>85</v>
      </c>
      <c r="G34" s="41">
        <v>46115</v>
      </c>
      <c r="H34" s="41">
        <v>46115</v>
      </c>
      <c r="I34" s="8"/>
      <c r="J34" s="8"/>
      <c r="K34" s="14"/>
      <c r="L34" s="39">
        <v>1</v>
      </c>
      <c r="M34" s="12"/>
      <c r="N34" s="10"/>
      <c r="O34" s="45"/>
    </row>
    <row r="35" spans="2:15" s="7" customFormat="1" outlineLevel="1" x14ac:dyDescent="0.3">
      <c r="B35" s="37" t="s">
        <v>48</v>
      </c>
      <c r="C35" s="63" t="s">
        <v>90</v>
      </c>
      <c r="D35" s="11" t="s">
        <v>101</v>
      </c>
      <c r="E35" s="64" t="s">
        <v>81</v>
      </c>
      <c r="F35" s="38" t="s">
        <v>85</v>
      </c>
      <c r="G35" s="41">
        <v>46120</v>
      </c>
      <c r="H35" s="41">
        <v>46120</v>
      </c>
      <c r="I35" s="8"/>
      <c r="J35" s="8"/>
      <c r="K35" s="14"/>
      <c r="L35" s="39">
        <v>1</v>
      </c>
      <c r="M35" s="12"/>
      <c r="N35" s="10"/>
      <c r="O35" s="45"/>
    </row>
    <row r="36" spans="2:15" s="7" customFormat="1" outlineLevel="1" x14ac:dyDescent="0.3">
      <c r="B36" s="37" t="s">
        <v>49</v>
      </c>
      <c r="C36" s="63" t="s">
        <v>90</v>
      </c>
      <c r="D36" s="11" t="s">
        <v>101</v>
      </c>
      <c r="E36" s="64" t="s">
        <v>82</v>
      </c>
      <c r="F36" s="38" t="s">
        <v>85</v>
      </c>
      <c r="G36" s="41">
        <v>46121</v>
      </c>
      <c r="H36" s="41">
        <v>46121</v>
      </c>
      <c r="I36" s="8"/>
      <c r="J36" s="8"/>
      <c r="K36" s="14"/>
      <c r="L36" s="39">
        <v>1</v>
      </c>
      <c r="M36" s="12"/>
      <c r="N36" s="10"/>
      <c r="O36" s="45"/>
    </row>
    <row r="37" spans="2:15" s="7" customFormat="1" outlineLevel="1" x14ac:dyDescent="0.3">
      <c r="B37" s="37" t="s">
        <v>50</v>
      </c>
      <c r="C37" s="63" t="s">
        <v>90</v>
      </c>
      <c r="D37" s="11" t="s">
        <v>101</v>
      </c>
      <c r="E37" s="64" t="s">
        <v>83</v>
      </c>
      <c r="F37" s="38" t="s">
        <v>85</v>
      </c>
      <c r="G37" s="41">
        <v>46122</v>
      </c>
      <c r="H37" s="41">
        <v>46122</v>
      </c>
      <c r="I37" s="8"/>
      <c r="J37" s="8"/>
      <c r="K37" s="14"/>
      <c r="L37" s="39">
        <v>1</v>
      </c>
      <c r="M37" s="12"/>
      <c r="N37" s="10"/>
      <c r="O37" s="45"/>
    </row>
    <row r="38" spans="2:15" s="7" customFormat="1" outlineLevel="1" x14ac:dyDescent="0.3">
      <c r="B38" s="37" t="s">
        <v>68</v>
      </c>
      <c r="C38" s="63" t="s">
        <v>90</v>
      </c>
      <c r="D38" s="11" t="s">
        <v>101</v>
      </c>
      <c r="E38" s="64" t="s">
        <v>84</v>
      </c>
      <c r="F38" s="38" t="s">
        <v>85</v>
      </c>
      <c r="G38" s="41">
        <v>46116</v>
      </c>
      <c r="H38" s="41">
        <v>46116</v>
      </c>
      <c r="I38" s="8"/>
      <c r="J38" s="8"/>
      <c r="K38" s="14"/>
      <c r="L38" s="39">
        <v>1</v>
      </c>
      <c r="M38" s="12"/>
      <c r="N38" s="10"/>
      <c r="O38" s="45"/>
    </row>
    <row r="39" spans="2:15" s="7" customFormat="1" ht="13.2" outlineLevel="1" x14ac:dyDescent="0.25">
      <c r="B39" s="37" t="s">
        <v>69</v>
      </c>
      <c r="C39" s="11"/>
      <c r="D39" s="11"/>
      <c r="E39" s="40"/>
      <c r="F39" s="38"/>
      <c r="G39" s="41"/>
      <c r="H39" s="41"/>
      <c r="I39" s="8"/>
      <c r="J39" s="8"/>
      <c r="K39" s="14"/>
      <c r="L39" s="39"/>
      <c r="M39" s="12"/>
      <c r="N39" s="10"/>
      <c r="O39" s="45"/>
    </row>
    <row r="40" spans="2:15" s="7" customFormat="1" ht="13.2" outlineLevel="1" x14ac:dyDescent="0.25">
      <c r="B40" s="37" t="s">
        <v>70</v>
      </c>
      <c r="C40" s="11"/>
      <c r="D40" s="11"/>
      <c r="E40" s="40"/>
      <c r="F40" s="38"/>
      <c r="G40" s="41"/>
      <c r="H40" s="41"/>
      <c r="I40" s="8"/>
      <c r="J40" s="8"/>
      <c r="K40" s="14"/>
      <c r="L40" s="39"/>
      <c r="M40" s="12"/>
      <c r="N40" s="10"/>
      <c r="O40" s="45"/>
    </row>
    <row r="41" spans="2:15" s="7" customFormat="1" ht="13.2" hidden="1" outlineLevel="1" x14ac:dyDescent="0.25">
      <c r="B41" s="37" t="s">
        <v>71</v>
      </c>
      <c r="C41" s="11"/>
      <c r="D41" s="11"/>
      <c r="E41" s="40"/>
      <c r="F41" s="38"/>
      <c r="G41" s="41"/>
      <c r="H41" s="41"/>
      <c r="I41" s="8"/>
      <c r="J41" s="8"/>
      <c r="K41" s="14"/>
      <c r="L41" s="39"/>
      <c r="M41" s="12"/>
      <c r="N41" s="10"/>
      <c r="O41" s="45"/>
    </row>
    <row r="42" spans="2:15" s="7" customFormat="1" ht="13.2" hidden="1" outlineLevel="1" x14ac:dyDescent="0.25">
      <c r="B42" s="37" t="s">
        <v>72</v>
      </c>
      <c r="C42" s="11"/>
      <c r="D42" s="11"/>
      <c r="E42" s="40"/>
      <c r="F42" s="38"/>
      <c r="G42" s="41"/>
      <c r="H42" s="41"/>
      <c r="I42" s="8"/>
      <c r="J42" s="8"/>
      <c r="K42" s="14"/>
      <c r="L42" s="39"/>
      <c r="M42" s="12"/>
      <c r="N42" s="10"/>
      <c r="O42" s="45"/>
    </row>
    <row r="43" spans="2:15" s="7" customFormat="1" ht="13.2" hidden="1" outlineLevel="1" x14ac:dyDescent="0.25">
      <c r="B43" s="37" t="s">
        <v>73</v>
      </c>
      <c r="C43" s="11"/>
      <c r="D43" s="11"/>
      <c r="E43" s="40"/>
      <c r="F43" s="38"/>
      <c r="G43" s="41"/>
      <c r="H43" s="41"/>
      <c r="I43" s="8"/>
      <c r="J43" s="8"/>
      <c r="K43" s="14"/>
      <c r="L43" s="39"/>
      <c r="M43" s="12"/>
      <c r="N43" s="10"/>
      <c r="O43" s="45"/>
    </row>
    <row r="44" spans="2:15" s="7" customFormat="1" ht="13.2" hidden="1" outlineLevel="1" x14ac:dyDescent="0.25">
      <c r="B44" s="37" t="s">
        <v>74</v>
      </c>
      <c r="C44" s="11"/>
      <c r="D44" s="11"/>
      <c r="E44" s="40"/>
      <c r="F44" s="38"/>
      <c r="G44" s="41"/>
      <c r="H44" s="41"/>
      <c r="I44" s="8"/>
      <c r="J44" s="8"/>
      <c r="K44" s="14"/>
      <c r="L44" s="39"/>
      <c r="M44" s="12"/>
      <c r="N44" s="10">
        <v>1</v>
      </c>
      <c r="O44" s="45"/>
    </row>
    <row r="45" spans="2:15" s="7" customFormat="1" ht="13.2" hidden="1" outlineLevel="1" x14ac:dyDescent="0.25">
      <c r="B45" s="37"/>
      <c r="C45" s="11"/>
      <c r="D45" s="11"/>
      <c r="E45" s="40"/>
      <c r="F45" s="38"/>
      <c r="G45" s="41"/>
      <c r="H45" s="41"/>
      <c r="I45" s="8"/>
      <c r="J45" s="8"/>
      <c r="K45" s="14"/>
      <c r="L45" s="39"/>
      <c r="M45" s="12"/>
      <c r="N45" s="10">
        <v>1</v>
      </c>
      <c r="O45" s="45"/>
    </row>
    <row r="46" spans="2:15" s="7" customFormat="1" ht="13.2" hidden="1" outlineLevel="1" x14ac:dyDescent="0.25">
      <c r="B46" s="37"/>
      <c r="C46" s="11"/>
      <c r="D46" s="11"/>
      <c r="E46" s="40"/>
      <c r="F46" s="38"/>
      <c r="G46" s="41"/>
      <c r="H46" s="41"/>
      <c r="I46" s="8"/>
      <c r="J46" s="8"/>
      <c r="K46" s="14"/>
      <c r="L46" s="39"/>
      <c r="M46" s="12"/>
      <c r="N46" s="10">
        <v>1</v>
      </c>
      <c r="O46" s="45"/>
    </row>
    <row r="47" spans="2:15" s="7" customFormat="1" ht="13.2" hidden="1" outlineLevel="1" x14ac:dyDescent="0.25">
      <c r="B47" s="37"/>
      <c r="C47" s="11"/>
      <c r="D47" s="11"/>
      <c r="E47" s="40"/>
      <c r="F47" s="38"/>
      <c r="G47" s="41"/>
      <c r="H47" s="41"/>
      <c r="I47" s="8"/>
      <c r="J47" s="8"/>
      <c r="K47" s="14"/>
      <c r="L47" s="39"/>
      <c r="M47" s="12"/>
      <c r="N47" s="10">
        <v>1</v>
      </c>
      <c r="O47" s="45"/>
    </row>
    <row r="48" spans="2:15" s="7" customFormat="1" ht="13.2" hidden="1" outlineLevel="1" x14ac:dyDescent="0.25">
      <c r="B48" s="37"/>
      <c r="C48" s="11"/>
      <c r="D48" s="11"/>
      <c r="E48" s="40"/>
      <c r="F48" s="38"/>
      <c r="G48" s="38"/>
      <c r="H48" s="38"/>
      <c r="I48" s="8"/>
      <c r="J48" s="8"/>
      <c r="K48" s="14"/>
      <c r="L48" s="39"/>
      <c r="M48" s="12"/>
      <c r="N48" s="10">
        <v>1</v>
      </c>
      <c r="O48" s="45"/>
    </row>
    <row r="49" spans="2:15" x14ac:dyDescent="0.25">
      <c r="B49" s="30">
        <v>3</v>
      </c>
      <c r="C49" s="20" t="s">
        <v>54</v>
      </c>
      <c r="D49" s="25"/>
      <c r="E49" s="25"/>
      <c r="F49" s="31"/>
      <c r="G49" s="31"/>
      <c r="H49" s="31"/>
      <c r="I49" s="21"/>
      <c r="J49" s="21"/>
      <c r="K49" s="22">
        <f>SUM(K50:K56)</f>
        <v>0</v>
      </c>
      <c r="L49" s="32">
        <f>SUM(L50:L56)</f>
        <v>38</v>
      </c>
      <c r="M49" s="23">
        <f>SUM(M50:M56)</f>
        <v>0</v>
      </c>
      <c r="N49" s="24">
        <v>1</v>
      </c>
      <c r="O49" s="44"/>
    </row>
    <row r="50" spans="2:15" ht="26.4" x14ac:dyDescent="0.25">
      <c r="B50" s="37" t="s">
        <v>55</v>
      </c>
      <c r="C50" s="11" t="s">
        <v>103</v>
      </c>
      <c r="D50" s="11" t="s">
        <v>104</v>
      </c>
      <c r="E50" s="40" t="s">
        <v>96</v>
      </c>
      <c r="F50" s="38" t="s">
        <v>105</v>
      </c>
      <c r="G50" s="41">
        <v>46109</v>
      </c>
      <c r="H50" s="41">
        <v>46118</v>
      </c>
      <c r="I50" s="8"/>
      <c r="J50" s="8"/>
      <c r="K50" s="14"/>
      <c r="L50" s="39">
        <v>30</v>
      </c>
      <c r="M50" s="12"/>
      <c r="N50" s="10">
        <v>1</v>
      </c>
      <c r="O50" s="45"/>
    </row>
    <row r="51" spans="2:15" x14ac:dyDescent="0.25">
      <c r="B51" s="37" t="s">
        <v>55</v>
      </c>
      <c r="C51" s="11" t="s">
        <v>106</v>
      </c>
      <c r="D51" s="11"/>
      <c r="E51" s="40" t="s">
        <v>96</v>
      </c>
      <c r="F51" s="38" t="s">
        <v>107</v>
      </c>
      <c r="G51" s="41">
        <v>46111</v>
      </c>
      <c r="H51" s="41">
        <v>46111</v>
      </c>
      <c r="I51" s="8"/>
      <c r="J51" s="8"/>
      <c r="K51" s="14"/>
      <c r="L51" s="39">
        <v>8</v>
      </c>
      <c r="M51" s="12"/>
      <c r="N51" s="10">
        <v>1</v>
      </c>
      <c r="O51" s="45"/>
    </row>
    <row r="52" spans="2:15" x14ac:dyDescent="0.25">
      <c r="B52" s="37" t="s">
        <v>55</v>
      </c>
      <c r="C52" s="11"/>
      <c r="D52" s="11"/>
      <c r="E52" s="40"/>
      <c r="F52" s="38"/>
      <c r="G52" s="41"/>
      <c r="H52" s="41"/>
      <c r="I52" s="8"/>
      <c r="J52" s="8"/>
      <c r="K52" s="14"/>
      <c r="L52" s="39"/>
      <c r="M52" s="12"/>
      <c r="N52" s="10">
        <v>1</v>
      </c>
      <c r="O52" s="45"/>
    </row>
    <row r="53" spans="2:15" x14ac:dyDescent="0.25">
      <c r="B53" s="37" t="s">
        <v>55</v>
      </c>
      <c r="C53" s="11"/>
      <c r="D53" s="11"/>
      <c r="E53" s="40"/>
      <c r="F53" s="38"/>
      <c r="G53" s="41"/>
      <c r="H53" s="41"/>
      <c r="I53" s="8"/>
      <c r="J53" s="8"/>
      <c r="K53" s="14"/>
      <c r="L53" s="39"/>
      <c r="M53" s="12"/>
      <c r="N53" s="10">
        <v>1</v>
      </c>
      <c r="O53" s="45"/>
    </row>
    <row r="54" spans="2:15" x14ac:dyDescent="0.25">
      <c r="B54" s="37" t="s">
        <v>55</v>
      </c>
      <c r="C54" s="11"/>
      <c r="D54" s="11"/>
      <c r="E54" s="40"/>
      <c r="F54" s="38"/>
      <c r="G54" s="41"/>
      <c r="H54" s="41"/>
      <c r="I54" s="8"/>
      <c r="J54" s="8"/>
      <c r="K54" s="14"/>
      <c r="L54" s="39"/>
      <c r="M54" s="12"/>
      <c r="N54" s="10">
        <v>1</v>
      </c>
      <c r="O54" s="45"/>
    </row>
    <row r="55" spans="2:15" x14ac:dyDescent="0.25">
      <c r="B55" s="37" t="s">
        <v>55</v>
      </c>
      <c r="C55" s="11"/>
      <c r="D55" s="11"/>
      <c r="E55" s="40"/>
      <c r="F55" s="38"/>
      <c r="G55" s="38"/>
      <c r="H55" s="38"/>
      <c r="I55" s="8"/>
      <c r="J55" s="8"/>
      <c r="K55" s="14"/>
      <c r="L55" s="39"/>
      <c r="M55" s="12"/>
      <c r="N55" s="10">
        <v>1</v>
      </c>
      <c r="O55" s="45"/>
    </row>
  </sheetData>
  <mergeCells count="10">
    <mergeCell ref="J3:K3"/>
    <mergeCell ref="J4:K4"/>
    <mergeCell ref="I9:J9"/>
    <mergeCell ref="L9:M9"/>
    <mergeCell ref="B2:B3"/>
    <mergeCell ref="B4:B5"/>
    <mergeCell ref="B6:B7"/>
    <mergeCell ref="C2:C3"/>
    <mergeCell ref="C4:C5"/>
    <mergeCell ref="C6:C7"/>
  </mergeCells>
  <phoneticPr fontId="14" type="noConversion"/>
  <dataValidations count="1">
    <dataValidation type="list" allowBlank="1" showInputMessage="1" showErrorMessage="1" sqref="N11:N55" xr:uid="{8B55589F-3250-4B7B-B37F-103B92AD1214}">
      <formula1>"1,2,3,4,5"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11 K31:M31 K23:M23 M11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4F8389A-565F-4808-A90F-DB4B88F3E102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N3:N7</xm:sqref>
        </x14:conditionalFormatting>
        <x14:conditionalFormatting xmlns:xm="http://schemas.microsoft.com/office/excel/2006/main">
          <x14:cfRule type="iconSet" priority="9" id="{3F6D567C-9EA5-4754-8725-82CDD4F3E020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N11:N55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1B426F44A67F498884B760A2A5CE43" ma:contentTypeVersion="19" ma:contentTypeDescription="Crie um novo documento." ma:contentTypeScope="" ma:versionID="76259005709332810d21a3d596692ef3">
  <xsd:schema xmlns:xsd="http://www.w3.org/2001/XMLSchema" xmlns:xs="http://www.w3.org/2001/XMLSchema" xmlns:p="http://schemas.microsoft.com/office/2006/metadata/properties" xmlns:ns1="http://schemas.microsoft.com/sharepoint/v3" xmlns:ns2="5c4f482a-c85c-479e-bb83-ce7a3d4acf9b" xmlns:ns3="7a923c1c-514b-43b9-8960-ec459a414e5e" targetNamespace="http://schemas.microsoft.com/office/2006/metadata/properties" ma:root="true" ma:fieldsID="dda6fbf55236f067b66404fd51ca9e82" ns1:_="" ns2:_="" ns3:_="">
    <xsd:import namespace="http://schemas.microsoft.com/sharepoint/v3"/>
    <xsd:import namespace="5c4f482a-c85c-479e-bb83-ce7a3d4acf9b"/>
    <xsd:import namespace="7a923c1c-514b-43b9-8960-ec459a414e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f482a-c85c-479e-bb83-ce7a3d4acf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a0cc33bb-f423-4bc4-9547-323bb343d7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23c1c-514b-43b9-8960-ec459a414e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Coluna Global de Taxonomia" ma:hidden="true" ma:list="{f838eb83-db00-436e-9c6c-ba7a418bf6e5}" ma:internalName="TaxCatchAll" ma:showField="CatchAllData" ma:web="7a923c1c-514b-43b9-8960-ec459a414e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923c1c-514b-43b9-8960-ec459a414e5e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5c4f482a-c85c-479e-bb83-ce7a3d4acf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5509B1-2AF3-4F02-9E20-B257A74CD3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127BEB-CB2F-4130-B7AA-C617341EF0A0}"/>
</file>

<file path=customXml/itemProps3.xml><?xml version="1.0" encoding="utf-8"?>
<ds:datastoreItem xmlns:ds="http://schemas.openxmlformats.org/officeDocument/2006/customXml" ds:itemID="{7B6DB56E-2D49-44C8-9723-74947B72004C}">
  <ds:schemaRefs>
    <ds:schemaRef ds:uri="http://schemas.microsoft.com/office/2006/metadata/properties"/>
    <ds:schemaRef ds:uri="http://schemas.microsoft.com/office/infopath/2007/PartnerControls"/>
    <ds:schemaRef ds:uri="7a923c1c-514b-43b9-8960-ec459a414e5e"/>
    <ds:schemaRef ds:uri="http://schemas.microsoft.com/sharepoint/v3"/>
    <ds:schemaRef ds:uri="5c4f482a-c85c-479e-bb83-ce7a3d4acf9b"/>
  </ds:schemaRefs>
</ds:datastoreItem>
</file>

<file path=docMetadata/LabelInfo.xml><?xml version="1.0" encoding="utf-8"?>
<clbl:labelList xmlns:clbl="http://schemas.microsoft.com/office/2020/mipLabelMetadata">
  <clbl:label id="{d921a7ff-3e78-486d-a8d9-51d17cf22700}" enabled="1" method="Standard" siteId="{29e081cc-983f-4d52-b1d0-103595213b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Lopes Dos Reis</dc:creator>
  <cp:keywords/>
  <dc:description/>
  <cp:lastModifiedBy>Eduardo Felipe Oliveira Dos Santos</cp:lastModifiedBy>
  <cp:revision/>
  <dcterms:created xsi:type="dcterms:W3CDTF">2022-06-13T20:59:16Z</dcterms:created>
  <dcterms:modified xsi:type="dcterms:W3CDTF">2026-03-28T17:08:28Z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0x010100BA1B426F44A67F498884B760A2A5CE43</vt:lpwstr>
  </property>
  <property fmtid="{D5CDD505-2E9C-101B-9397-08002B2CF9AE}" pid="5" name="MediaServiceImageTags">
    <vt:lpwstr/>
  </property>
</Properties>
</file>